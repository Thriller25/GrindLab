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.selivonyuk\Desktop\Разработка\Техническое моделирование\GrindLab\docs\Беклог + функциональная карта\"/>
    </mc:Choice>
  </mc:AlternateContent>
  <xr:revisionPtr revIDLastSave="0" documentId="13_ncr:1_{A41AF073-F87B-4443-8FBA-ADB3E17751D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Backlog" sheetId="1" r:id="rId1"/>
    <sheet name="Lists" sheetId="2" r:id="rId2"/>
    <sheet name="Dashboard" sheetId="3" r:id="rId3"/>
    <sheet name="Roadmap" sheetId="4" r:id="rId4"/>
  </sheets>
  <definedNames>
    <definedName name="_xlnm._FilterDatabase" localSheetId="0" hidden="1">Backlog!$A$1:$S$47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4" l="1"/>
  <c r="E13" i="4"/>
  <c r="E12" i="4"/>
  <c r="E11" i="4"/>
  <c r="E10" i="4"/>
  <c r="E9" i="4"/>
  <c r="E8" i="4"/>
  <c r="E7" i="4"/>
  <c r="E6" i="4"/>
  <c r="E5" i="4"/>
  <c r="E4" i="4"/>
  <c r="E3" i="4"/>
  <c r="E2" i="4"/>
  <c r="B12" i="3"/>
  <c r="B11" i="3"/>
  <c r="B10" i="3"/>
  <c r="B9" i="3"/>
  <c r="B8" i="3"/>
  <c r="B7" i="3"/>
  <c r="B6" i="3"/>
  <c r="B13" i="3" l="1"/>
  <c r="B15" i="3" s="1"/>
</calcChain>
</file>

<file path=xl/sharedStrings.xml><?xml version="1.0" encoding="utf-8"?>
<sst xmlns="http://schemas.openxmlformats.org/spreadsheetml/2006/main" count="1751" uniqueCount="757">
  <si>
    <t>Card ID</t>
  </si>
  <si>
    <t>Epic ID</t>
  </si>
  <si>
    <t>Epic</t>
  </si>
  <si>
    <t>Type</t>
  </si>
  <si>
    <t>Title</t>
  </si>
  <si>
    <t>Component</t>
  </si>
  <si>
    <t>Priority</t>
  </si>
  <si>
    <t>Status</t>
  </si>
  <si>
    <t>Owner</t>
  </si>
  <si>
    <t>Sprint</t>
  </si>
  <si>
    <t>Estimate (SP)</t>
  </si>
  <si>
    <t>Dependencies</t>
  </si>
  <si>
    <t>Description / Goal</t>
  </si>
  <si>
    <t>Scope In</t>
  </si>
  <si>
    <t>Scope Out</t>
  </si>
  <si>
    <t>Acceptance Criteria</t>
  </si>
  <si>
    <t>Tests</t>
  </si>
  <si>
    <t>Deliverables</t>
  </si>
  <si>
    <t>Notes</t>
  </si>
  <si>
    <t>Release</t>
  </si>
  <si>
    <t>Phase</t>
  </si>
  <si>
    <t>Rank</t>
  </si>
  <si>
    <t>EP0</t>
  </si>
  <si>
    <t>Foundations (границы, контракты, ADR)</t>
  </si>
  <si>
    <t>Product</t>
  </si>
  <si>
    <t>P0</t>
  </si>
  <si>
    <t>Backlog</t>
  </si>
  <si>
    <t/>
  </si>
  <si>
    <t>S0</t>
  </si>
  <si>
    <t>Эпик: Foundations (границы, контракты, ADR). Используется для группировки задач и контроля прогресса.</t>
  </si>
  <si>
    <t>1.0 MVP Core</t>
  </si>
  <si>
    <t>EP1</t>
  </si>
  <si>
    <t>Auth (Keycloak) + RBAC/ACL</t>
  </si>
  <si>
    <t>S1</t>
  </si>
  <si>
    <t>Эпик: Auth (Keycloak) + RBAC/ACL. Используется для группировки задач и контроля прогресса.</t>
  </si>
  <si>
    <t>EP2</t>
  </si>
  <si>
    <t>Проекты + версионирование + аудит</t>
  </si>
  <si>
    <t>Эпик: Проекты + версионирование + аудит. Используется для группировки задач и контроля прогресса.</t>
  </si>
  <si>
    <t>EP3</t>
  </si>
  <si>
    <t>Materials &amp; Ingestion (включая Blast)</t>
  </si>
  <si>
    <t>S2</t>
  </si>
  <si>
    <t>Эпик: Materials &amp; Ingestion (включая Blast). Используется для группировки задач и контроля прогресса.</t>
  </si>
  <si>
    <t>EP4</t>
  </si>
  <si>
    <t>Flowsheet Designer (MVP)</t>
  </si>
  <si>
    <t>S3</t>
  </si>
  <si>
    <t>Эпик: Flowsheet Designer (MVP). Используется для группировки задач и контроля прогресса.</t>
  </si>
  <si>
    <t>EP5</t>
  </si>
  <si>
    <t>Solver / Simulation Core</t>
  </si>
  <si>
    <t>S4</t>
  </si>
  <si>
    <t>Эпик: Solver / Simulation Core. Используется для группировки задач и контроля прогресса.</t>
  </si>
  <si>
    <t>EP6</t>
  </si>
  <si>
    <t>Calibration &amp; Validation (MVP)</t>
  </si>
  <si>
    <t>S5</t>
  </si>
  <si>
    <t>Эпик: Calibration &amp; Validation (MVP). Используется для группировки задач и контроля прогресса.</t>
  </si>
  <si>
    <t>EP7</t>
  </si>
  <si>
    <t>What-if &amp; Compare</t>
  </si>
  <si>
    <t>Эпик: What-if &amp; Compare. Используется для группировки задач и контроля прогресса.</t>
  </si>
  <si>
    <t>EP8</t>
  </si>
  <si>
    <t>Visualization &amp; Reporting</t>
  </si>
  <si>
    <t>Эпик: Visualization &amp; Reporting. Используется для группировки задач и контроля прогресса.</t>
  </si>
  <si>
    <t>EP9</t>
  </si>
  <si>
    <t>Platform (DB/Migrations/Observability/CI)</t>
  </si>
  <si>
    <t>Эпик: Platform (DB/Migrations/Observability/CI). Используется для группировки задач и контроля прогресса.</t>
  </si>
  <si>
    <t>F0.1</t>
  </si>
  <si>
    <t>Feature</t>
  </si>
  <si>
    <t>MVP Scope &amp; Release Plan</t>
  </si>
  <si>
    <t>Зафиксировать границы релиза 1.0 и развитие 1.1, чтобы избежать расползания объёма.</t>
  </si>
  <si>
    <t>Список фичей 1.0/1.1, исключения, критерии готовности релиза, риски и допущения.</t>
  </si>
  <si>
    <t>Техническая реализация функционала; детальное планирование спринтов.</t>
  </si>
  <si>
    <t>Есть документ MVP Scope 1.0 (1–2 страницы) с: перечнем фичей, исключений, критериями приёмки релиза. Есть список 1.1 Growth (INKA/online/econ/коннекторы).</t>
  </si>
  <si>
    <t>Проверка наличия документов в репозитории и ссылок из README/CONTRIBUTING.</t>
  </si>
  <si>
    <t>docs/mvp-scope.md; docs/roadmap-1.1.md</t>
  </si>
  <si>
    <t>F0.2</t>
  </si>
  <si>
    <t>Data Contracts: Material/PSD/Blast/KPI</t>
  </si>
  <si>
    <t>Backend+Core</t>
  </si>
  <si>
    <t>Определить и реализовать минимальные контракты данных для согласованной разработки UI/Backend/Core.</t>
  </si>
  <si>
    <t>JSON Schema/модели данных; примеры файлов; валидатор; функции PSD (bins, rebin, Pxx до P240); словарь KPI.</t>
  </si>
  <si>
    <t>Интеграционные коннекторы к MES/SCADA/LIMS; потоковая обработка.</t>
  </si>
  <si>
    <t>Есть схемы и примеры: валидный/невалидный/пограничный. Валидатор выдаёт понятные ошибки. PSD поддерживает bins и вычисление P80/P50/P240, ребининг к целевой сетке.</t>
  </si>
  <si>
    <t>Unit-тесты валидатора; golden-тесты PSD rebin и Pxx; статическая проверка схем.</t>
  </si>
  <si>
    <t>backend/schemas/*.json; backend/models/material.py; core/psd.py; testdata/*</t>
  </si>
  <si>
    <t>F0.3</t>
  </si>
  <si>
    <t>ADR: архитектурные решения</t>
  </si>
  <si>
    <t>Product+Engineering</t>
  </si>
  <si>
    <t>P1</t>
  </si>
  <si>
    <t>Зафиксировать ключевые архитектурные решения (почему так) для устойчивости разработки и ревью.</t>
  </si>
  <si>
    <t>ADR по Auth (Keycloak OIDC), Versioning (immutable), Storage (Postgres + artifacts), PSD standard (bins+P240).</t>
  </si>
  <si>
    <t>Полный enterprise-архитектурный документ.</t>
  </si>
  <si>
    <t>Созданы минимум 4 ADR, размещены в docs/adr, с решением, контекстом, альтернативами и последствиями.</t>
  </si>
  <si>
    <t>Проверка наличия ADR и ссылок из архитектурных документов.</t>
  </si>
  <si>
    <t>docs/adr/0001-auth.md …</t>
  </si>
  <si>
    <t>F1.1</t>
  </si>
  <si>
    <t>Keycloak docker-compose + realm import</t>
  </si>
  <si>
    <t>DevOps+Backend</t>
  </si>
  <si>
    <t>Поднять Keycloak как IdP для GrindLab без ручной настройки.</t>
  </si>
  <si>
    <t>docker-compose сервисы; realm import (grindlab); роли; тестовые пользователи; документация запуска.</t>
  </si>
  <si>
    <t>Федерация с AD/LDAP (можно позже).</t>
  </si>
  <si>
    <t>docker compose up поднимает Keycloak; realm grindlab создаётся автоматически; роли присутствуют; тестовые users доступны.</t>
  </si>
  <si>
    <t>Smoke: health endpoint Keycloak; проверка realm/roles через admin API или UI.</t>
  </si>
  <si>
    <t>docker-compose.yml; keycloak/realm-export.json; docs/auth-setup.md</t>
  </si>
  <si>
    <t>F1.2</t>
  </si>
  <si>
    <t>UI: OIDC login/logout (Auth Code + PKCE)</t>
  </si>
  <si>
    <t>Frontend</t>
  </si>
  <si>
    <t>Реализовать вход/выход пользователя через Keycloak по OIDC.</t>
  </si>
  <si>
    <t>login/logout; обработка callback; хранение токена; обновление токена (если нужно); защищённые маршруты; отображение пользователя.</t>
  </si>
  <si>
    <t>Собственная форма логина и хранение паролей в GrindLab.</t>
  </si>
  <si>
    <t>Без логина защищённые разделы недоступны. После логина показывается пользователь/роль. Logout завершает сессию и очищает доступ.</t>
  </si>
  <si>
    <t>E2E: login → открыть Projects → logout; unit-тесты auth util.</t>
  </si>
  <si>
    <t>frontend/auth/*; защищённые роуты; UI состояние auth</t>
  </si>
  <si>
    <t>F1.3</t>
  </si>
  <si>
    <t>Backend: JWT validation (JWKS) + RBAC</t>
  </si>
  <si>
    <t>Backend</t>
  </si>
  <si>
    <t>F1.1;F0.2</t>
  </si>
  <si>
    <t>Защитить /api и валидировать JWT, выдаваемый Keycloak; реализовать RBAC.</t>
  </si>
  <si>
    <t>middleware JWT; проверка iss/aud/exp; загрузка JWKS; декораторы require_role; обработка 401/403.</t>
  </si>
  <si>
    <t>Fine-grained ABAC (атрибутная) политика.</t>
  </si>
  <si>
    <t>Без токена 401. С токеном без роли 403. Роли корректно извлекаются из токена. Ошибки аутентификации логируются.</t>
  </si>
  <si>
    <t>Unit-тесты middleware; интеграционные тесты 401/403/200; проверка JWKS cache.</t>
  </si>
  <si>
    <t>backend/auth/*; tests/test_auth.py</t>
  </si>
  <si>
    <t>F1.4</t>
  </si>
  <si>
    <t>ACL на проекты (membership)</t>
  </si>
  <si>
    <t>Backend+DB+Frontend</t>
  </si>
  <si>
    <t>F1.3;F2.1;F9.1</t>
  </si>
  <si>
    <t>Ограничить доступ к данным по проектам через membership и роли проекта.</t>
  </si>
  <si>
    <t>таблицы membership; роли owner/editor/viewer; API управления участниками; фильтрация проектов по ACL; UI управления доступами (минимум).</t>
  </si>
  <si>
    <t>Сложные орг-структуры, согласования и многоуровневые тенанты.</t>
  </si>
  <si>
    <t>Пользователь видит только проекты, где участник. Owner может добавлять/удалять участников. Viewer не может редактировать.</t>
  </si>
  <si>
    <t>Интеграционные тесты ACL на Project endpoints; UI smoke на управление участниками.</t>
  </si>
  <si>
    <t>DB миграции; backend/projects/acl.py; UI members panel</t>
  </si>
  <si>
    <t>F2.1</t>
  </si>
  <si>
    <t>Project CRUD (API + UI)</t>
  </si>
  <si>
    <t>Backend+Frontend</t>
  </si>
  <si>
    <t>F1.3;F9.1</t>
  </si>
  <si>
    <t>Базовый контур работы: пользователь создаёт проект, открывает и управляет им.</t>
  </si>
  <si>
    <t>Список/создание/переименование/архивирование; поиск/фильтр; учёт ACL.</t>
  </si>
  <si>
    <t>Сложные шаблоны проектов и импорт из сторонних систем.</t>
  </si>
  <si>
    <t>CRUD работает; ACL применяется; пользователь может открыть проект и перейти в Project workspace.</t>
  </si>
  <si>
    <t>Интеграционные тесты Project API; UI smoke.</t>
  </si>
  <si>
    <t>backend/projects/*; frontend/pages/Projects*</t>
  </si>
  <si>
    <t>F2.2</t>
  </si>
  <si>
    <t>Versioning model (immutable artifacts)</t>
  </si>
  <si>
    <t>Backend+DB</t>
  </si>
  <si>
    <t>F9.1;F0.2</t>
  </si>
  <si>
    <t>Ввести модель версий для воспроизводимости расчётов и сценариев.</t>
  </si>
  <si>
    <t>Сущности: FlowsheetVersion, MaterialVersion, ParameterSetVersion, ScenarioVersion, RunVersion; traceability (ссылки на входные версии).</t>
  </si>
  <si>
    <t>Сложное ветвление как Git; мердж версий.</t>
  </si>
  <si>
    <t>Любое изменение создаёт новую версию. Версия содержит ссылки на входные версии. Старые версии доступны для просмотра/повтора.</t>
  </si>
  <si>
    <t>Unit-тесты immutable поведения; интеграционные тесты создания цепочки версий.</t>
  </si>
  <si>
    <t>DB schema; backend/versioning/*</t>
  </si>
  <si>
    <t>F2.3</t>
  </si>
  <si>
    <t>Change Log / Audit minimal</t>
  </si>
  <si>
    <t>F2.1;F1.3</t>
  </si>
  <si>
    <t>Минимальный аудит действий пользователя для согласований и расследований.</t>
  </si>
  <si>
    <t>Записи: user, объект, действие, timestamp, project_id; просмотр лога (API).</t>
  </si>
  <si>
    <t>Полный SIEM/enterprise audit.</t>
  </si>
  <si>
    <t>Каждое ключевое действие создаёт audit запись. Лог доступен для проекта (с учётом ACL).</t>
  </si>
  <si>
    <t>Интеграционные тесты генерации audit events.</t>
  </si>
  <si>
    <t>backend/audit/*; DB table audit_log</t>
  </si>
  <si>
    <t>F3.1</t>
  </si>
  <si>
    <t>Импорт Material из файла (CSV/XLSX/JSON)</t>
  </si>
  <si>
    <t>F0.2;F2.1;F9.1</t>
  </si>
  <si>
    <t>Загрузить материал в систему через мастер импорта и сохранить версию Material.</t>
  </si>
  <si>
    <t>UI wizard: upload → preview → mapping → validate → save; backend parsing; сохранение provenance.</t>
  </si>
  <si>
    <t>Автоматическое подключение к внешним БД (можно позже).</t>
  </si>
  <si>
    <t>Импорт создаёт MaterialVersion и отчёт валидации (errors/warnings). UI показывает ошибки и не даёт сохранить invalid.</t>
  </si>
  <si>
    <t>Парсинг 3 форматов; интеграционный тест end-to-end импорта.</t>
  </si>
  <si>
    <t>frontend/material-import/*; backend/materials/import/*</t>
  </si>
  <si>
    <t>F3.2</t>
  </si>
  <si>
    <t>Валидация + паспорт материала</t>
  </si>
  <si>
    <t>Реализовать правила качества данных и сохранить 'паспорт материала'.</t>
  </si>
  <si>
    <t>Правила: сумма долей=1, неотрицательность, монотонность Pxx (если есть), единицы, диапазоны; статус valid/warn/error; хранение отчёта.</t>
  </si>
  <si>
    <t>ML-детекция аномалий.</t>
  </si>
  <si>
    <t>Паспорт сохраняется с версией. Ошибки/предупреждения описаны. В UI отражается статус качества.</t>
  </si>
  <si>
    <t>Unit-тесты на правила; набор пограничных кейсов.</t>
  </si>
  <si>
    <t>backend/materials/validation.py; schema validation_report</t>
  </si>
  <si>
    <t>F3.3</t>
  </si>
  <si>
    <t>PSD core: bins + rebin + Pxx (включая P240)</t>
  </si>
  <si>
    <t>Core</t>
  </si>
  <si>
    <t>Единые операции над грансоставом для расчёта, графиков, импорта и смешения.</t>
  </si>
  <si>
    <t>psd model; rebin(target_edges); p_of_x(p); преобразование Pxx→bins (если нужно).</t>
  </si>
  <si>
    <t>Фрактальные/сложные модели измельчения на этом этапе.</t>
  </si>
  <si>
    <t>P80/P50/P240 вычисляются одинаково. rebin воспроизводим. Ошибки валидируются.</t>
  </si>
  <si>
    <t>Golden tests на известных PSD; property tests (сумма=1).</t>
  </si>
  <si>
    <t>core/psd.py; tests/test_psd.py</t>
  </si>
  <si>
    <t>F3.4</t>
  </si>
  <si>
    <t>Блендинг материалов</t>
  </si>
  <si>
    <t>F3.3;F3.2</t>
  </si>
  <si>
    <t>Создать составной материал из нескольких материалов с весами (mass fractions).</t>
  </si>
  <si>
    <t>UI/Backend blend; нормализация весов; blended PSD и quality; версия blended material.</t>
  </si>
  <si>
    <t>Оптимизация блендинга (под цель) — позже.</t>
  </si>
  <si>
    <t>Blended PSD = weighted sum после rebin; quality = weighted mean (MVP); создаётся новая MaterialVersion.</t>
  </si>
  <si>
    <t>Unit-тесты blend; интеграционный тест создания blended material.</t>
  </si>
  <si>
    <t>backend/materials/blend.py; UI blend dialog</t>
  </si>
  <si>
    <t>F3.5</t>
  </si>
  <si>
    <t>Импорт Blast → Material (adapter)</t>
  </si>
  <si>
    <t>F3.2;F3.3;F2.1</t>
  </si>
  <si>
    <t>Принять результаты моделирования взрыва как материал для схемы измельчения.</t>
  </si>
  <si>
    <t>endpoint /api/blast/import или file upload; маппинг полей; сохранение MaterialVersion с ссылкой blast_id/block_id.</t>
  </si>
  <si>
    <t>Онлайн-интеграция с внешним сервисом по событиям (это финальная архитектура).</t>
  </si>
  <si>
    <t>Импорт принимает минимум blast_id/block_id/timestamp/psd/quality. Ошибки валидации читаемы. Материал доступен в каталоге.</t>
  </si>
  <si>
    <t>Интеграционный тест импорта; валидация отсутствующих полей.</t>
  </si>
  <si>
    <t>backend/integrations/blast/*</t>
  </si>
  <si>
    <t>F4.1</t>
  </si>
  <si>
    <t>Flowsheet editor: граф узлов и потоков</t>
  </si>
  <si>
    <t>Frontend+Backend</t>
  </si>
  <si>
    <t>F2.2;F2.1</t>
  </si>
  <si>
    <t>Редактор схемы: создание узлов, соединений и сохранение как FlowsheetVersion.</t>
  </si>
  <si>
    <t>UI graph editor; создание/удаление/соединение; сохранение/загрузка; валидатор схемы (минимум).</t>
  </si>
  <si>
    <t>3D-визуализация, сложные шаблоны библиотек.</t>
  </si>
  <si>
    <t>Пользователь может собрать схему, сохранить и открыть. Некорректная схема не сохраняется/не запускается.</t>
  </si>
  <si>
    <t>UI smoke: создать узлы, соединить, сохранить, перезагрузить; API tests.</t>
  </si>
  <si>
    <t>frontend/flowsheet/*; backend/flowsheets/*</t>
  </si>
  <si>
    <t>F4.2</t>
  </si>
  <si>
    <t>Node Library MVP (Crusher/Mill/Cyclone/Screen/Splitter/Mixer)</t>
  </si>
  <si>
    <t>Core+Frontend</t>
  </si>
  <si>
    <t>F4.1;F0.2</t>
  </si>
  <si>
    <t>Библиотека узлов и их параметров по умолчанию для MVP.</t>
  </si>
  <si>
    <t>Модели узлов, параметры, ограничения, отображение в UI, сериализация в flowsheet.</t>
  </si>
  <si>
    <t>Полный каталог оборудования и производителей.</t>
  </si>
  <si>
    <t>Узлы доступны в библиотеке, имеют параметры по умолчанию и диапазоны; корректно сериализуются в flowsheet.</t>
  </si>
  <si>
    <t>Unit-тесты сериализации узлов; smoke расчёта на минимальной схеме.</t>
  </si>
  <si>
    <t>core/unit_models/*; frontend/node-library/*</t>
  </si>
  <si>
    <t>F4.3</t>
  </si>
  <si>
    <t>Flowsheet validation rules</t>
  </si>
  <si>
    <t>F4.1;F4.2</t>
  </si>
  <si>
    <t>Правила, которые гарантируют исполнимость схемы.</t>
  </si>
  <si>
    <t>Проверки: входной поток, разорванные связи, циклы без инициализации, параметры вне диапазона.</t>
  </si>
  <si>
    <t>Автоматическое исправление схемы.</t>
  </si>
  <si>
    <t>API возвращает список ошибок/предупреждений; UI подсвечивает проблемные узлы/параметры.</t>
  </si>
  <si>
    <t>Unit-тесты валидатора на 6–10 сценариев.</t>
  </si>
  <si>
    <t>backend/flowsheets/validate.py; frontend validation UI</t>
  </si>
  <si>
    <t>F4.4</t>
  </si>
  <si>
    <t>Назначение MaterialVersion на feed</t>
  </si>
  <si>
    <t>F3.1;F2.2;F4.1</t>
  </si>
  <si>
    <t>Выбор материала (версии) на вход схемы и сохранение связи для воспроизводимости.</t>
  </si>
  <si>
    <t>UI picker материалов; запись ссылки material_version_id в flowsheet/run config.</t>
  </si>
  <si>
    <t>Несколько feed потоков с разными материалами (можно позже, если нужно).</t>
  </si>
  <si>
    <t>При запуске расчёта всегда фиксируется material_version_id. Пользователь видит, какой материал назначен.</t>
  </si>
  <si>
    <t>Интеграционный тест: назначить материал → запустить run → проверить ссылки в RunVersion.</t>
  </si>
  <si>
    <t>frontend/material-picker; backend/run-config</t>
  </si>
  <si>
    <t>F5.1</t>
  </si>
  <si>
    <t>Execution engine + convergence</t>
  </si>
  <si>
    <t>F4.2;F3.3</t>
  </si>
  <si>
    <t>Исполнение схемы и обеспечение сходимости для циклов/рециркуляции.</t>
  </si>
  <si>
    <t>Топологический проход + итерации; критерии сходимости; лимиты итераций; статус (converged/not).</t>
  </si>
  <si>
    <t>Высокоточная физика каждого узла (будет наращиваться).</t>
  </si>
  <si>
    <t>Solver выдаёт статус сходимости и причины. Для тестовой схемы достигается сходимость в рамках лимитов.</t>
  </si>
  <si>
    <t>Golden tests на 2–3 контрольные схемы; тесты на не-сходимость.</t>
  </si>
  <si>
    <t>core/solver/*; tests/test_solver.py</t>
  </si>
  <si>
    <t>F5.2</t>
  </si>
  <si>
    <t>KPI computation (throughput, kWh/t, P80/P50/P240, CL)</t>
  </si>
  <si>
    <t>F5.1;F0.2</t>
  </si>
  <si>
    <t>Единый расчёт KPI по потокам/узлам и по итогам прогонов.</t>
  </si>
  <si>
    <t>Метрики + агрегирование; сохранение в RunVersion; единые единицы измерения.</t>
  </si>
  <si>
    <t>Расширенные KPI экономики/качества (будут в развитии).</t>
  </si>
  <si>
    <t>KPI доступны в UI/экспорте, привязаны к версии run. P240 присутствует в наборе KPI.</t>
  </si>
  <si>
    <t>Unit-тесты KPI; golden expected values.</t>
  </si>
  <si>
    <t>core/kpi.py; backend/runs/*</t>
  </si>
  <si>
    <t>F5.3</t>
  </si>
  <si>
    <t>Run management (RunVersion)</t>
  </si>
  <si>
    <t>F2.2;F5.1</t>
  </si>
  <si>
    <t>Создание/хранение прогонов, связей версий и результатов.</t>
  </si>
  <si>
    <t>API: create run, get run, list runs; хранение inputs (flowsheet/material/params/scenario), outputs (KPI, results).</t>
  </si>
  <si>
    <t>Диспетчер задач с SLA и параллельным исполнением (можно позже).</t>
  </si>
  <si>
    <t>RunVersion содержит ссылки на входные версии. Результаты доступны после выполнения. Повтор run с теми же входами воспроизводим.</t>
  </si>
  <si>
    <t>Интеграционные тесты API runs.</t>
  </si>
  <si>
    <t>backend/runs/*; DB tables run_version, run_results</t>
  </si>
  <si>
    <t>F6.1</t>
  </si>
  <si>
    <t>Calibration dataset management</t>
  </si>
  <si>
    <t>Управление датасетами факта для калибровки (загрузка/выбор/версия).</t>
  </si>
  <si>
    <t>CSV upload; метаданные; привязка к проекту; версия датасета.</t>
  </si>
  <si>
    <t>Авто-сбор датасетов из historian (развитие).</t>
  </si>
  <si>
    <t>Датасет можно загрузить, просмотреть, выбрать для калибровки. Он версионируется и привязан к проекту.</t>
  </si>
  <si>
    <t>Интеграционные тесты dataset API; UI preview smoke.</t>
  </si>
  <si>
    <t>backend/calibration/datasets/*; frontend/calibration/dataset</t>
  </si>
  <si>
    <t>F6.2</t>
  </si>
  <si>
    <t>Calibration engine (MVP optimizer)</t>
  </si>
  <si>
    <t>F5.1;F6.1;F2.2</t>
  </si>
  <si>
    <t>Подбор параметров модели под фактические данные на основе loss функции.</t>
  </si>
  <si>
    <t>Loss (взвешенная); поиск параметров (простая стратегия: grid/random/nelder-mead - выбрать 1); сохранение best params.</t>
  </si>
  <si>
    <t>Сложные глобальные оптимизаторы, Bayesian optimization (можно позже).</t>
  </si>
  <si>
    <t>Калибровка создаёт новый ParameterSetVersion и фиксирует метрики до/после. Выдаёт статус успеха и причины ошибок.</t>
  </si>
  <si>
    <t>Golden тест на маленьком датасете; тесты на некорректные входы.</t>
  </si>
  <si>
    <t>core/calibration/*; tests/test_calibration.py</t>
  </si>
  <si>
    <t>F6.3</t>
  </si>
  <si>
    <t>Calibration report (metrics + plots)</t>
  </si>
  <si>
    <t>F6.2;F8.2</t>
  </si>
  <si>
    <t>Отчёт по калибровке: метрики и сравнение факт vs модель.</t>
  </si>
  <si>
    <t>MAE/RMSE/MAPE, bias; таблица параметров; графики; экспорт отчёта.</t>
  </si>
  <si>
    <t>Регламент согласования отчётов (можно позже).</t>
  </si>
  <si>
    <t>Отчёт показывает: метрики, параметры, графики. Привязан к версии dataset и parameter set.</t>
  </si>
  <si>
    <t>UI snapshot/smoke; backend report generation tests.</t>
  </si>
  <si>
    <t>frontend/calibration/report; backend/reports/calibration</t>
  </si>
  <si>
    <t>F7.1</t>
  </si>
  <si>
    <t>Scenario builder (what-if)</t>
  </si>
  <si>
    <t>F2.2;F4.1;F4.4</t>
  </si>
  <si>
    <t>Создание сценариев изменения входов/уставок/материалов для what-if анализа.</t>
  </si>
  <si>
    <t>Сценарий: изменение material, параметров узлов, ограничений; версия сценария (immutable).</t>
  </si>
  <si>
    <t>Сложные сценарные деревья и мердж сценариев.</t>
  </si>
  <si>
    <t>Сценарий сохраняется как ScenarioVersion. Изменения создают новую версию. В UI видны параметры сценария.</t>
  </si>
  <si>
    <t>API tests на версии сценариев; UI smoke.</t>
  </si>
  <si>
    <t>backend/scenarios/*; frontend/scenarios/*</t>
  </si>
  <si>
    <t>F7.2</t>
  </si>
  <si>
    <t>Batch runs for scenarios</t>
  </si>
  <si>
    <t>F5.3;F7.1</t>
  </si>
  <si>
    <t>Пакетный прогон набора сценариев для сравнения.</t>
  </si>
  <si>
    <t>Запуск N runs; очередность/параллельность MVP (можно последовательная); сбор результатов.</t>
  </si>
  <si>
    <t>Сложный оркестратор (k8s jobs) — развитие.</t>
  </si>
  <si>
    <t>Пользователь запускает пакетный прогон. Видит статус прогресса. Результаты доступны для сравнения.</t>
  </si>
  <si>
    <t>Интеграционный тест batch runs на 3 сценария.</t>
  </si>
  <si>
    <t>backend/batch/*; core runner improvements</t>
  </si>
  <si>
    <t>F7.3</t>
  </si>
  <si>
    <t>Compare dashboard (baseline vs scenarios)</t>
  </si>
  <si>
    <t>F7.2;F8.3</t>
  </si>
  <si>
    <t>Сравнение сценариев по KPI и графикам.</t>
  </si>
  <si>
    <t>Таблица delta KPI; сортировка; подсветка нарушений; выбор baseline.</t>
  </si>
  <si>
    <t>Многофакторный Pareto UI (можно позже).</t>
  </si>
  <si>
    <t>UI показывает baseline и сценарии, delta KPI, нарушения ограничений; умеет экспортировать результаты сравнения.</t>
  </si>
  <si>
    <t>UI smoke; unit-тесты расчёта delta.</t>
  </si>
  <si>
    <t>frontend/compare/*</t>
  </si>
  <si>
    <t>F8.1</t>
  </si>
  <si>
    <t>PSD plots (включая P240)</t>
  </si>
  <si>
    <t>F3.3;F5.2</t>
  </si>
  <si>
    <t>Визуализация PSD (гистограмма/кривая) с метками P80/P50/P240.</t>
  </si>
  <si>
    <t>Компоненты графиков; единые оси; экспорт PNG.</t>
  </si>
  <si>
    <t>Продвинутая интерактивная аналитика и cross-filtering.</t>
  </si>
  <si>
    <t>Графики PSD корректно строятся для bins, показывают P80/P50/P240; доступны в результатах run.</t>
  </si>
  <si>
    <t>UI snapshot tests; unit-тесты подготовки данных для графика.</t>
  </si>
  <si>
    <t>frontend/charts/psd/*</t>
  </si>
  <si>
    <t>F8.2</t>
  </si>
  <si>
    <t>Fact vs Model plots (calibration)</t>
  </si>
  <si>
    <t>Графики для отчёта калибровки: факт vs модель по KPI/PSD.</t>
  </si>
  <si>
    <t>Линейные/точечные графики; доверительные интервалы (опц.).</t>
  </si>
  <si>
    <t>Продвинутые статистические тесты.</t>
  </si>
  <si>
    <t>Отчёт калибровки визуально сравним, графики читаемы, экспортируемы.</t>
  </si>
  <si>
    <t>UI snapshot tests.</t>
  </si>
  <si>
    <t>frontend/charts/calibration/*</t>
  </si>
  <si>
    <t>F8.3</t>
  </si>
  <si>
    <t>Scenario comparison plots</t>
  </si>
  <si>
    <t>Графики сравнения сценариев по KPI/PSD.</t>
  </si>
  <si>
    <t>Мульти-серии, легенда, выделение baseline, экспорт.</t>
  </si>
  <si>
    <t>Сложные интерактивные дашборды.</t>
  </si>
  <si>
    <t>Сравнение сценариев отображается на графиках, baseline выделен, delta читаемы.</t>
  </si>
  <si>
    <t>UI snapshot tests; unit-тесты агрегирования.</t>
  </si>
  <si>
    <t>frontend/charts/compare/*</t>
  </si>
  <si>
    <t>F8.4</t>
  </si>
  <si>
    <t>Export package (PNG + CSV/Excel) with version metadata</t>
  </si>
  <si>
    <t>F5.3;F8.1</t>
  </si>
  <si>
    <t>Экспорт результатов расчёта/сравнения в пакет с метаданными версий.</t>
  </si>
  <si>
    <t>PNG графики; CSV/Excel таблицы KPI и параметров; метаданные (project/version ids, дата, автор).</t>
  </si>
  <si>
    <t>PDF отчёты со сложной версткой (можно позже).</t>
  </si>
  <si>
    <t>Экспорт включает метаданные и воспроизводим. Пользователь может скачать пакет по run или batch compare.</t>
  </si>
  <si>
    <t>Интеграционный тест экспорта; проверка содержимого архива.</t>
  </si>
  <si>
    <t>backend/exports/*; frontend/export/*</t>
  </si>
  <si>
    <t>F9.1</t>
  </si>
  <si>
    <t>DB schema + migrations (PostgreSQL)</t>
  </si>
  <si>
    <t>DB+Backend</t>
  </si>
  <si>
    <t>Базовая схема БД и миграции для проектов, версий, материалов, runs и ACL.</t>
  </si>
  <si>
    <t>DDL; миграции; seed (минимум); индексы; связь с ORM.</t>
  </si>
  <si>
    <t>Шардирование/репликация enterprise.</t>
  </si>
  <si>
    <t>Развёртывание с нуля поднимает БД и применяет миграции. Схема покрывает ключевые сущности MVP.</t>
  </si>
  <si>
    <t>Smoke: миграции apply; интеграционные тесты CRUD на ключевых таблицах.</t>
  </si>
  <si>
    <t>backend/db/migrations/*; schema diagram (опц.)</t>
  </si>
  <si>
    <t>F9.2</t>
  </si>
  <si>
    <t>Audit log minimal (technical)</t>
  </si>
  <si>
    <t>Техническая реализация audit логов (если не закрыто F2.3).</t>
  </si>
  <si>
    <t>Middleware/handlers для audit events; хранение; API чтения.</t>
  </si>
  <si>
    <t>Интеграция в SIEM.</t>
  </si>
  <si>
    <t>Audit events пишутся для create/update/run actions; доступны с ACL.</t>
  </si>
  <si>
    <t>Интеграционные тесты.</t>
  </si>
  <si>
    <t>backend/audit/*</t>
  </si>
  <si>
    <t>F9.3</t>
  </si>
  <si>
    <t>Health checks + logging + error handling</t>
  </si>
  <si>
    <t>Backend+DevOps</t>
  </si>
  <si>
    <t>Эксплуатационный минимум: health endpoints, структурные логи, понятные ошибки.</t>
  </si>
  <si>
    <t>/health; /ready; логирование ошибок импорта/solver; единый формат ошибок API.</t>
  </si>
  <si>
    <t>Полный observability стек (Prometheus/Grafana) — позже.</t>
  </si>
  <si>
    <t>Есть health endpoints. Ошибки API стандартизированы. Логи содержат correlation id (если есть).</t>
  </si>
  <si>
    <t>Smoke tests на health; unit-тесты error mapper.</t>
  </si>
  <si>
    <t>backend/health.py; backend/logging/*</t>
  </si>
  <si>
    <t>F9.4</t>
  </si>
  <si>
    <t>CI smoke (build + tests + minimal run)</t>
  </si>
  <si>
    <t>DevOps</t>
  </si>
  <si>
    <t>F5.1;F4.1</t>
  </si>
  <si>
    <t>Автоматическая проверка сборки и базовой работоспособности при PR.</t>
  </si>
  <si>
    <t>CI pipeline: frontend build, backend tests, linters; опционально: минимальный solver test; docker build.</t>
  </si>
  <si>
    <t>Performance benchmarks.</t>
  </si>
  <si>
    <t>Каждый PR прогоняет smoke; падения блокируют merge. Есть инструкции локального запуска smoke.</t>
  </si>
  <si>
    <t>CI itself; повторяемость.</t>
  </si>
  <si>
    <t>.github/workflows/* или аналог; scripts/smoke.*</t>
  </si>
  <si>
    <t>EP10</t>
  </si>
  <si>
    <t>INKA/DataHub Integration</t>
  </si>
  <si>
    <t>S7</t>
  </si>
  <si>
    <t>Интеграция GrindLab с интеграционным слоем предприятия: витрина данных, паспорт, правила качества и обмен данными/событиями.</t>
  </si>
  <si>
    <t>2.0 INKA Integration</t>
  </si>
  <si>
    <t>EP11</t>
  </si>
  <si>
    <t>Compute Platform (Jobs/Queue/Scaling)</t>
  </si>
  <si>
    <t>Compute Platform</t>
  </si>
  <si>
    <t>S6</t>
  </si>
  <si>
    <t>Промышленный контур выполнения расчётов: очереди задач, ретраи, идемпотентность, масштабирование и SLA.</t>
  </si>
  <si>
    <t>1.1 Production Hardening</t>
  </si>
  <si>
    <t>EP12</t>
  </si>
  <si>
    <t>Online Twin (Streaming + Real-time)</t>
  </si>
  <si>
    <t>Online Twin</t>
  </si>
  <si>
    <t>S10</t>
  </si>
  <si>
    <t>Онлайн-контур: потоковое обновление входов, пересчёт KPI, мониторинг состояния модели и UI для оперативного контроля.</t>
  </si>
  <si>
    <t>3.0 Online Twin</t>
  </si>
  <si>
    <t>EP13</t>
  </si>
  <si>
    <t>Recommendations &amp; Feedback</t>
  </si>
  <si>
    <t>Recommendation Engine</t>
  </si>
  <si>
    <t>S11</t>
  </si>
  <si>
    <t>Контур рекомендаций: правила безопасной области, объяснимость, сбор обратной связи и аудит решений.</t>
  </si>
  <si>
    <t>3.1 Recommendations</t>
  </si>
  <si>
    <t>EP14</t>
  </si>
  <si>
    <t>Economic Layer</t>
  </si>
  <si>
    <t>Экономический слой</t>
  </si>
  <si>
    <t>S12</t>
  </si>
  <si>
    <t>Связь технологических KPI с затратами/ценностью, оптимизация по экономическим целям и отчётность эффектов.</t>
  </si>
  <si>
    <t>3.2 Economics</t>
  </si>
  <si>
    <t>EP15</t>
  </si>
  <si>
    <t>Enterprise Outputs &amp; Approvals</t>
  </si>
  <si>
    <t>Enterprise Outputs</t>
  </si>
  <si>
    <t>P2</t>
  </si>
  <si>
    <t>Публикация результатов в BI/витрины, пакет отчётов для согласования, уведомления и внешние API.</t>
  </si>
  <si>
    <t>3.3 Enterprise BI/Approvals</t>
  </si>
  <si>
    <t>EP16</t>
  </si>
  <si>
    <t>Security &amp; Operations Hardening</t>
  </si>
  <si>
    <t>Security &amp; Operations</t>
  </si>
  <si>
    <t>Многоарендность/контуры, безопасность, бэкапы/DR, нагрузочное тестирование и эксплуатационные регламенты.</t>
  </si>
  <si>
    <t>EP17</t>
  </si>
  <si>
    <t>Extensibility &amp; Model Library</t>
  </si>
  <si>
    <t>Extensibility &amp; Models</t>
  </si>
  <si>
    <t>Расширяемость ядра (плагины), библиотека моделей оборудования, регрессия и управление публикацией моделей.</t>
  </si>
  <si>
    <t>F11.1</t>
  </si>
  <si>
    <t>Job Queue + Worker Framework (Redis/Celery/RQ)</t>
  </si>
  <si>
    <t>F5.1,F5.3,F9.1</t>
  </si>
  <si>
    <t>Перевести длительные расчёты (solver/calibration/batch) в фоновые задания с очередью и статусами.</t>
  </si>
  <si>
    <t>Выбор фреймворка очереди, базовый job API, воркеры solver/calibration, статусы (queued/running/done/failed), таймауты.</t>
  </si>
  <si>
    <t>Kubernetes autoscaling, сложные приоритеты/SLA (это отдельные фичи ниже).</t>
  </si>
  <si>
    <t>Запуск расчёта создаёт job и возвращает job_id; UI показывает статус; результат сохраняется в RunVersion; ошибки логируются.</t>
  </si>
  <si>
    <t>Интеграционные тесты: создать job→дождаться done→проверить артефакты; negative: падение воркера.</t>
  </si>
  <si>
    <t>Job service (API + DB), worker image, документация запуска.</t>
  </si>
  <si>
    <t>F11.2</t>
  </si>
  <si>
    <t>Retries + Idempotency + Job Orchestrator</t>
  </si>
  <si>
    <t>Сделать выполнение устойчивым: ретраи, дедупликация, идемпотентность повторных запусков.</t>
  </si>
  <si>
    <t>Политика ретраев, идемпотентные ключи, сохранение промежуточных статусов, отмена job.</t>
  </si>
  <si>
    <t>SLA scheduling (отдельно).</t>
  </si>
  <si>
    <t>Повторный запуск одного и того же RunVersion не создаёт дубликаты артефактов; отмена переводит job в cancelled.</t>
  </si>
  <si>
    <t>Интеграционные тесты: ретрай при transient error; cancel mid-run.</t>
  </si>
  <si>
    <t>Job orchestrator + документация.</t>
  </si>
  <si>
    <t>F11.5</t>
  </si>
  <si>
    <t>Artifacts Storage in MinIO/S3</t>
  </si>
  <si>
    <t>F9.1,F11.1</t>
  </si>
  <si>
    <t>Вынести отчёты и крупные результаты из файловой системы в объектное хранилище (MinIO/S3).</t>
  </si>
  <si>
    <t>S3 bucket layout, signed URLs/ACL, хранение артефактов RunVersion/Reports.</t>
  </si>
  <si>
    <t>Полноценное архивирование/retention политики (в EP16).</t>
  </si>
  <si>
    <t>Артефакты доступны по ссылке, сохраняются между рестартами сервисов; миграция существующих файлов описана.</t>
  </si>
  <si>
    <t>Интеграционные тесты: upload/download, permissions.</t>
  </si>
  <si>
    <t>MinIO в docker-compose, backend adapter, docs.</t>
  </si>
  <si>
    <t>F16.2</t>
  </si>
  <si>
    <t>Security Hardening (Secrets, CSP, WAF-ready)</t>
  </si>
  <si>
    <t>F1.3,F9.3</t>
  </si>
  <si>
    <t>Усилить безопасность периметра и секретов (prod-ready).</t>
  </si>
  <si>
    <t>Secrets management (env/ vault-ready), secure headers (CSP/HSTS), безопасные CORS настройки, security checklist.</t>
  </si>
  <si>
    <t>Сертификация/ГОСТ/ФСТЭК (вынесено, если потребуется отдельно).</t>
  </si>
  <si>
    <t>Проходит базовый security checklist; секреты не коммитятся; включены secure headers на gateway.</t>
  </si>
  <si>
    <t>Скан зависимостей (минимум), тесты на CORS/headers.</t>
  </si>
  <si>
    <t>Документация hardening + конфиги proxy.</t>
  </si>
  <si>
    <t>F16.3</t>
  </si>
  <si>
    <t>Backup/Restore + DR baseline</t>
  </si>
  <si>
    <t>DevOps+DB</t>
  </si>
  <si>
    <t>F9.1,F11.5</t>
  </si>
  <si>
    <t>Сделать резервное копирование и восстановление БД и S3 артефактов.</t>
  </si>
  <si>
    <t>Скрипты backup Postgres + MinIO, расписание, проверка восстановления, RPO/RTO базово.</t>
  </si>
  <si>
    <t>Полный DR (мультизона) — позже.</t>
  </si>
  <si>
    <t>Есть пошаговый runbook backup/restore; тестовое восстановление успешно.</t>
  </si>
  <si>
    <t>Тест: restore в чистую среду и smoke-run.</t>
  </si>
  <si>
    <t>Runbook + scripts.</t>
  </si>
  <si>
    <t>F17.3</t>
  </si>
  <si>
    <t>Regression Suite + Golden Benchmarks</t>
  </si>
  <si>
    <t>F5.1,F3.3</t>
  </si>
  <si>
    <t>Автоматические регрессионные тесты на эталонных схемах/материалах для контроля качества ядра.</t>
  </si>
  <si>
    <t>Набор эталонных кейсов, допустимые отклонения, CI интеграция.</t>
  </si>
  <si>
    <t>Полный performance benchmark — в F16.4.</t>
  </si>
  <si>
    <t>CI падает при ухудшении метрик/расхождении KPI сверх допусков; отчёт по регрессии сохраняется.</t>
  </si>
  <si>
    <t>Unit+integration tests; baseline snapshots.</t>
  </si>
  <si>
    <t>Набор тест-кейсов + скрипт прогонов.</t>
  </si>
  <si>
    <t>F10.1</t>
  </si>
  <si>
    <t>INKA Contract (Schemas + API)</t>
  </si>
  <si>
    <t>Определить интерфейс интеграции: схемы данных и API/обменные форматы между INKA и GrindLab.</t>
  </si>
  <si>
    <t>Схемы событий/витрины, mapping Material/PSD/Quality, идентификаторы, версии.</t>
  </si>
  <si>
    <t>Разработка конкретных коннекторов — отдельно.</t>
  </si>
  <si>
    <t>Согласован документ контракта + примеры; покрыт валидатором; версия хранится в репозитории.</t>
  </si>
  <si>
    <t>Schema validation tests.</t>
  </si>
  <si>
    <t>Документ + json schemas.</t>
  </si>
  <si>
    <t>F10.2</t>
  </si>
  <si>
    <t>Connector Framework + Initial Connectors</t>
  </si>
  <si>
    <t>Реализовать каркас коннекторов для получения данных из INKA (REST/DB/files) с единым логированием и ретраями.</t>
  </si>
  <si>
    <t>SDK/абстракции коннекторов, REST connector, DB connector (read-only), конфигурация подключений.</t>
  </si>
  <si>
    <t>Подключение конкретных источников заказчика (проектно).</t>
  </si>
  <si>
    <t>Коннекторы работают по единому интерфейсу; можно добавить новый тип коннектора без изменения ядра.</t>
  </si>
  <si>
    <t>Интеграционные тесты на mock INKA.</t>
  </si>
  <si>
    <t>Connector module + docs.</t>
  </si>
  <si>
    <t>F10.3</t>
  </si>
  <si>
    <t>Data Passport &amp; Data Quality Rules (INKA-aware)</t>
  </si>
  <si>
    <t>F10.1,F3.2</t>
  </si>
  <si>
    <t>Расширить паспорт данных под интеграционные источники: эталонность, частота обновления, правила качества.</t>
  </si>
  <si>
    <t>Модель паспорта, UI для просмотра статуса качества, отчёты нарушений.</t>
  </si>
  <si>
    <t>Авто-исправление данных (вне MVP).</t>
  </si>
  <si>
    <t>Для каждого источника видны правила/статус; есть список нарушений и рекомендации; хранится история качества.</t>
  </si>
  <si>
    <t>Unit tests на правила + UI smoke.</t>
  </si>
  <si>
    <t>Data passport module + UI page.</t>
  </si>
  <si>
    <t>F10.4</t>
  </si>
  <si>
    <t>INKA → GrindLab Sync Jobs (Materials/Plans)</t>
  </si>
  <si>
    <t>S8</t>
  </si>
  <si>
    <t>F10.2,F11.1</t>
  </si>
  <si>
    <t>Синхронизация витрин INKA в GrindLab: регулярная загрузка материалов и (опц.) плановых параметров.</t>
  </si>
  <si>
    <t>Планировщик sync, инкрементальные загрузки, версионирование входов, журнал синхронизаций.</t>
  </si>
  <si>
    <t>Event-driven обновления (следующая фича).</t>
  </si>
  <si>
    <t>Sync создаёт новые версии Material при изменениях; есть traceability на источник/витрину.</t>
  </si>
  <si>
    <t>Integration tests with mock data.</t>
  </si>
  <si>
    <t>Sync service + configs + docs.</t>
  </si>
  <si>
    <t>F10.5</t>
  </si>
  <si>
    <t>Event-driven Subscriptions (Material Update Events)</t>
  </si>
  <si>
    <t>F10.1,F10.2</t>
  </si>
  <si>
    <t>Подписка на события INKA: при обновлении материала/качества запуск пересчёта (для online контура).</t>
  </si>
  <si>
    <t>Consumer сервиса (Kafka/HTTP webhook), обработка событий, дедупликация, постановка job на пересчёт.</t>
  </si>
  <si>
    <t>Полный streaming/online KPI — EP12.</t>
  </si>
  <si>
    <t>Событие приводит к созданию MaterialVersion и постановке job; есть аудит и обработка дублей.</t>
  </si>
  <si>
    <t>Integration tests with event replay.</t>
  </si>
  <si>
    <t>Event consumer + docs.</t>
  </si>
  <si>
    <t>2.1 Event-driven Updates</t>
  </si>
  <si>
    <t>F11.3</t>
  </si>
  <si>
    <t>Kubernetes Jobs / Autoscaling (optional target)</t>
  </si>
  <si>
    <t>S9</t>
  </si>
  <si>
    <t>F11.1,F11.2</t>
  </si>
  <si>
    <t>Горизонтальное масштабирование вычислений: запуск воркеров как k8s jobs/Deployments, автоскейлинг.</t>
  </si>
  <si>
    <t>Helm charts, resource requests/limits, autoscaling policies, node isolation.</t>
  </si>
  <si>
    <t>Не требуется для on-prem single-node.</t>
  </si>
  <si>
    <t>Под нагрузкой система масштабируется, SLA по времени отклика очереди выдерживается на тесте.</t>
  </si>
  <si>
    <t>Load test сценарий.</t>
  </si>
  <si>
    <t>Helm/k8s manifests + runbook.</t>
  </si>
  <si>
    <t>2.2 Compute Scale</t>
  </si>
  <si>
    <t>F11.4</t>
  </si>
  <si>
    <t>SLA/Priority Scheduling</t>
  </si>
  <si>
    <t>Приоритизация задач и базовое SLA: интерактивные расчёты выше batch.</t>
  </si>
  <si>
    <t>Очереди по приоритетам, лимиты параллельности, fair-share.</t>
  </si>
  <si>
    <t>Сложные SLA контракты.</t>
  </si>
  <si>
    <t>UI jobs показывает приоритет; interactive jobs выполняются быстрее batch на тесте.</t>
  </si>
  <si>
    <t>Integration test with two queues.</t>
  </si>
  <si>
    <t>Scheduler config + docs.</t>
  </si>
  <si>
    <t>F12.1</t>
  </si>
  <si>
    <t>Streaming Ingest Service (Kafka/Redpanda)</t>
  </si>
  <si>
    <t>Сервис потокового приёма событий/данных для online контура.</t>
  </si>
  <si>
    <t>Подключение Kafka/Redpanda, consumer groups, схемы сообщений, dead-letter queue.</t>
  </si>
  <si>
    <t>Любые специфичные источники (проектно).</t>
  </si>
  <si>
    <t>Сервис стабильно принимает события, хранит offset, обрабатывает повторную доставку.</t>
  </si>
  <si>
    <t>Integration tests with replay.</t>
  </si>
  <si>
    <t>Streaming ingest service + docker-compose option.</t>
  </si>
  <si>
    <t>F12.2</t>
  </si>
  <si>
    <t>Real-time KPI Pipeline (micro-batch)</t>
  </si>
  <si>
    <t>F12.1,F11.1</t>
  </si>
  <si>
    <t>Пайплайн пересчёта KPI при изменении входов (micro-batch): обновление KPI, тренды и отклонения.</t>
  </si>
  <si>
    <t>Хранилище KPI (time-series optional), правила расчёта, окно агрегации.</t>
  </si>
  <si>
    <t>Рекомендации (EP13).</t>
  </si>
  <si>
    <t>При событии обновления материал/режимы → KPI обновлены, видны в UI; есть статус freshness.</t>
  </si>
  <si>
    <t>Integration tests: event → KPI updated.</t>
  </si>
  <si>
    <t>KPI pipeline + storage schema.</t>
  </si>
  <si>
    <t>F12.4</t>
  </si>
  <si>
    <t>Live Dashboard + Alerts UI</t>
  </si>
  <si>
    <t>UI для live KPI: тренды, отклонения и алерты.</t>
  </si>
  <si>
    <t>Страница online dashboard, фильтры, пороги, push/poll обновления.</t>
  </si>
  <si>
    <t>Настраиваемые алерты в мессенджеры (EP15.3).</t>
  </si>
  <si>
    <t>UI обновляется без перезагрузки; алерты создаются и отображаются; есть журнал алертов.</t>
  </si>
  <si>
    <t>UI smoke + API tests.</t>
  </si>
  <si>
    <t>Dashboard page + API endpoints.</t>
  </si>
  <si>
    <t>F12.3</t>
  </si>
  <si>
    <t>Model State &amp; Drift Monitoring</t>
  </si>
  <si>
    <t>Core+Backend</t>
  </si>
  <si>
    <t>F12.2,F17.3</t>
  </si>
  <si>
    <t>Мониторинг состояния модели и дрейфа (качество предсказания ухудшается).</t>
  </si>
  <si>
    <t>Метрики качества online, окна сравнения, уведомления о drift.</t>
  </si>
  <si>
    <t>Автоматическая автокалибровка (отдельно).</t>
  </si>
  <si>
    <t>При ухудшении метрик создаётся событие/alert; отчёт доступен.</t>
  </si>
  <si>
    <t>Unit tests for drift metrics.</t>
  </si>
  <si>
    <t>Drift module + UI view.</t>
  </si>
  <si>
    <t>F13.1</t>
  </si>
  <si>
    <t>Rules Engine: Safe Operating Window</t>
  </si>
  <si>
    <t>Движок правил рекомендаций: ограничения и «допустимая область» режимов.</t>
  </si>
  <si>
    <t>DSL/конфиг правил, проверка ограничений, генерация рекомендаций.</t>
  </si>
  <si>
    <t>ML-рекомендации (если потребуется) — отдельно.</t>
  </si>
  <si>
    <t>Рекомендации формируются при отклонении KPI; каждая имеет объяснение (почему) и риск-оценку.</t>
  </si>
  <si>
    <t>Integration tests with synthetic cases.</t>
  </si>
  <si>
    <t>Rules engine module.</t>
  </si>
  <si>
    <t>F13.2</t>
  </si>
  <si>
    <t>Feedback Loop (accept/reject + outcome)</t>
  </si>
  <si>
    <t>Сбор обратной связи: принято/отклонено, комментарий, результат через время.</t>
  </si>
  <si>
    <t>UI actions, API feedback model, хранение и отчёты эффективности.</t>
  </si>
  <si>
    <t>A/B тестирование — отдельно.</t>
  </si>
  <si>
    <t>Для каждой рекомендации фиксируется решение пользователя; есть отчёт по принятым/эффективным.</t>
  </si>
  <si>
    <t>API tests + UI smoke.</t>
  </si>
  <si>
    <t>Feedback endpoints + UI controls.</t>
  </si>
  <si>
    <t>F13.4</t>
  </si>
  <si>
    <t>Explainability + Audit for Recommendations</t>
  </si>
  <si>
    <t>Пояснения и аудит для промышленных решений: почему рекомендация дана, какие входы и правила сработали.</t>
  </si>
  <si>
    <t>Модель explainability, хранение контекста, экспорт в отчёт.</t>
  </si>
  <si>
    <t>Юридический комплаенс (проектно).</t>
  </si>
  <si>
    <t>У рекомендации есть explain view: входы/правила/ограничения; доступно в отчёте.</t>
  </si>
  <si>
    <t>Tests: ensure audit record created.</t>
  </si>
  <si>
    <t>Explain view + audit schema.</t>
  </si>
  <si>
    <t>F14.1</t>
  </si>
  <si>
    <t>Cost/Value Model (inputs + units + versioning)</t>
  </si>
  <si>
    <t>F2.2,F5.2</t>
  </si>
  <si>
    <t>Настройка экономической модели: стоимость энергии, реагентов, простои, цена продукта и т.д.</t>
  </si>
  <si>
    <t>Справочники затрат, единицы, версии, UI ввода параметров.</t>
  </si>
  <si>
    <t>Полная интеграция с ERP — EP15.4.</t>
  </si>
  <si>
    <t>Экономические параметры версионируются; расчёт эконом KPI воспроизводим по версии.</t>
  </si>
  <si>
    <t>Unit tests for units/conversions.</t>
  </si>
  <si>
    <t>Cost model module + UI.</t>
  </si>
  <si>
    <t>F14.2</t>
  </si>
  <si>
    <t>Economic KPIs (EBITDA proxy) + Reporting</t>
  </si>
  <si>
    <t>Расчёт экономических KPI на базе технологических результатов (эффект в деньгах).</t>
  </si>
  <si>
    <t>Формулы KPI, отчёт эффектов, сравнение сценариев в деньгах.</t>
  </si>
  <si>
    <t>Финансовая модель уровня DCF — вне продукта.</t>
  </si>
  <si>
    <t>Сценарии сравниваются по эконом KPI; отчёт выгружается.</t>
  </si>
  <si>
    <t>Integration tests with baseline numbers.</t>
  </si>
  <si>
    <t>Economic KPI service + report template.</t>
  </si>
  <si>
    <t>F14.3</t>
  </si>
  <si>
    <t>Optimization with Economic Objective</t>
  </si>
  <si>
    <t>F14.2,F7.2</t>
  </si>
  <si>
    <t>Оптимизация режимов/параметров по экономическому критерию (при ограничениях безопасности).</t>
  </si>
  <si>
    <t>Objective functions, constraints, solver wrapper, результаты и Парето.</t>
  </si>
  <si>
    <t>Глобальная оптимизация “всё сразу” — позже.</t>
  </si>
  <si>
    <t>Запуск оптимизации создаёт job; возвращает топ-N решений и Парето; нарушения ограничений исключены.</t>
  </si>
  <si>
    <t>Tests on synthetic objective.</t>
  </si>
  <si>
    <t>Optimization module + UI output.</t>
  </si>
  <si>
    <t>F15.1</t>
  </si>
  <si>
    <t>BI Export (views/CSV/API)</t>
  </si>
  <si>
    <t>F8.4,F14.2</t>
  </si>
  <si>
    <t>Публикация результатов в BI: представления БД, выгрузки, REST API.</t>
  </si>
  <si>
    <t>DB views, export endpoints, version metadata.</t>
  </si>
  <si>
    <t>Конкретные BI инструменты (проектно).</t>
  </si>
  <si>
    <t>BI получает стабильные таблицы/представления; документация полей есть.</t>
  </si>
  <si>
    <t>API tests.</t>
  </si>
  <si>
    <t>BI export module + docs.</t>
  </si>
  <si>
    <t>F15.3</t>
  </si>
  <si>
    <t>Notifications (email/telegram/webhook)</t>
  </si>
  <si>
    <t>P3</t>
  </si>
  <si>
    <t>F11.1,F12.4</t>
  </si>
  <si>
    <t>Уведомления о завершении прогонов/алертах: email/telegram/webhook.</t>
  </si>
  <si>
    <t>Notification service, templates, настройки подписок.</t>
  </si>
  <si>
    <t>Полный корпоративный мессенджер (проектно).</t>
  </si>
  <si>
    <t>Пользователь получает уведомление по выбранному каналу; есть лог отправки.</t>
  </si>
  <si>
    <t>Integration tests with mock SMTP/webhook.</t>
  </si>
  <si>
    <t>Notification service.</t>
  </si>
  <si>
    <t>F15.4</t>
  </si>
  <si>
    <t>External API for ERP/Planning</t>
  </si>
  <si>
    <t>F10.2,F15.1</t>
  </si>
  <si>
    <t>Внешний API для интеграции с ERP/планированием: чтение KPI/результатов и запись плановых уставок (опц.).</t>
  </si>
  <si>
    <t>REST API, auth scopes, rate limits, audit.</t>
  </si>
  <si>
    <t>Проектные интеграции и трансформации данных.</t>
  </si>
  <si>
    <t>API документирован; включает версионирование; проходит интеграционные тесты.</t>
  </si>
  <si>
    <t>API integration tests.</t>
  </si>
  <si>
    <t>OpenAPI spec + endpoints.</t>
  </si>
  <si>
    <t>F16.1</t>
  </si>
  <si>
    <t>Multi-tenancy (Organizations/Workspaces)</t>
  </si>
  <si>
    <t>F2.1,F1.4</t>
  </si>
  <si>
    <t>Поддержка нескольких организаций/контуров в одном развёртывании: изоляция данных и администрирование.</t>
  </si>
  <si>
    <t>Org/workspace model, tenant-aware ACL, admin UI basic.</t>
  </si>
  <si>
    <t>Полная billing/licensing — отдельно.</t>
  </si>
  <si>
    <t>Данные разных org изолированы; админ может управлять пользователями/проектами в рамках org.</t>
  </si>
  <si>
    <t>Integration tests with 2 tenants.</t>
  </si>
  <si>
    <t>Tenant schema + admin endpoints.</t>
  </si>
  <si>
    <t>F16.4</t>
  </si>
  <si>
    <t>Performance/Load Testing Suite</t>
  </si>
  <si>
    <t>DevOps+Engineering</t>
  </si>
  <si>
    <t>F11.1,F17.3</t>
  </si>
  <si>
    <t>Нагрузочное тестирование типовых сценариев (batch runs, calibration, online updates) и профилирование.</t>
  </si>
  <si>
    <t>Load сценарии, метрики (p95), отчёт, целевые пороги.</t>
  </si>
  <si>
    <t>Оптимизация производительности конкретных моделей (проектно).</t>
  </si>
  <si>
    <t>Есть отчёт load test; узкие места выявлены; базовые пороги зафиксированы.</t>
  </si>
  <si>
    <t>Automated load scripts.</t>
  </si>
  <si>
    <t>Load test suite + report.</t>
  </si>
  <si>
    <t>F17.1</t>
  </si>
  <si>
    <t>Model Registry Full (Plugin SDK + Compatibility)</t>
  </si>
  <si>
    <t>Расширенный реестр моделей: плагины unit models, совместимость версий, публикация.</t>
  </si>
  <si>
    <t>Plugin SDK, metadata, version constraints, загрузка/включение моделей.</t>
  </si>
  <si>
    <t>Marketplace/внешний каталог — позже.</t>
  </si>
  <si>
    <t>Можно подключить новый unit model как плагин; совместимость проверяется; есть документация SDK.</t>
  </si>
  <si>
    <t>Unit tests for plugin loading.</t>
  </si>
  <si>
    <t>Plugin SDK + registry service.</t>
  </si>
  <si>
    <t>F17.2</t>
  </si>
  <si>
    <t>Unit Model Library Expansion</t>
  </si>
  <si>
    <t>Расширение библиотеки моделей оборудования (дополнительные crushers/mills/classifiers).</t>
  </si>
  <si>
    <t>Добавление моделей, параметры, тест-кейсы и документация.</t>
  </si>
  <si>
    <t>Высокоточные модели конкретных OEM (проектно).</t>
  </si>
  <si>
    <t>Добавлены минимум 3 новых модели; проходят регрессионные тесты.</t>
  </si>
  <si>
    <t>Regression tests pass.</t>
  </si>
  <si>
    <t>Model implementations + docs.</t>
  </si>
  <si>
    <t>F17.4</t>
  </si>
  <si>
    <t>Model Governance Workflow (review/publish)</t>
  </si>
  <si>
    <t>Процесс управления моделями: draft → review → published, контроль версий и аудит изменений.</t>
  </si>
  <si>
    <t>Статусы модели, review checklist, approvals в UI.</t>
  </si>
  <si>
    <t>Электронная подпись (проектно).</t>
  </si>
  <si>
    <t>Модель нельзя использовать в prod без статуса published; аудит действий сохраняется.</t>
  </si>
  <si>
    <t>Integration tests for workflow.</t>
  </si>
  <si>
    <t>Governance module + UI.</t>
  </si>
  <si>
    <t>Ready</t>
  </si>
  <si>
    <t>In Progress</t>
  </si>
  <si>
    <t>Story</t>
  </si>
  <si>
    <t>Blocked</t>
  </si>
  <si>
    <t>Task</t>
  </si>
  <si>
    <t>Review</t>
  </si>
  <si>
    <t>Bug</t>
  </si>
  <si>
    <t>DB</t>
  </si>
  <si>
    <t>Done</t>
  </si>
  <si>
    <t>Spike</t>
  </si>
  <si>
    <t>Dropped</t>
  </si>
  <si>
    <t>Engineering</t>
  </si>
  <si>
    <t>GrindLab — Backlog Dashboard</t>
  </si>
  <si>
    <t>Дата</t>
  </si>
  <si>
    <t>24.12.2025</t>
  </si>
  <si>
    <t>Статус</t>
  </si>
  <si>
    <t>Кол-во карточек</t>
  </si>
  <si>
    <t>Итого</t>
  </si>
  <si>
    <t>Процент выполнения (Done/Total)</t>
  </si>
  <si>
    <t>Focus / Outcome</t>
  </si>
  <si>
    <t>Included Features (IDs)</t>
  </si>
  <si>
    <t>Total SP (calc)</t>
  </si>
  <si>
    <t>Foundation: scope+contracts+DB+CI</t>
  </si>
  <si>
    <t>F0.1, F0.2, F0.3, F9.1, F9.4</t>
  </si>
  <si>
    <t>Auth + Projects vertical slice (secure access)</t>
  </si>
  <si>
    <t>F1.1, F1.2, F1.3, F1.4, F2.1</t>
  </si>
  <si>
    <t>Versioning + Materials import + quality rules</t>
  </si>
  <si>
    <t>F2.2, F2.3, F3.1, F3.2, F3.3, F9.2, F9.3</t>
  </si>
  <si>
    <t>Flowsheet editor + blending + blast import</t>
  </si>
  <si>
    <t>F3.4, F3.5, F4.1, F4.2, F4.3, F4.4</t>
  </si>
  <si>
    <t>Solver + KPI + run versions + base PSD plots</t>
  </si>
  <si>
    <t>F5.1, F5.2, F5.3, F8.1</t>
  </si>
  <si>
    <t>Calibration + what-if + compare + exports</t>
  </si>
  <si>
    <t>F6.1, F6.2, F6.3, F7.1, F7.2, F7.3, F8.2, F8.3, F8.4</t>
  </si>
  <si>
    <t>Background jobs + storage + security + DR + regression</t>
  </si>
  <si>
    <t>F11.1, F11.2, F11.5, F16.2, F16.3, F17.3</t>
  </si>
  <si>
    <t>INKA contract + connectors + data passport</t>
  </si>
  <si>
    <t>F10.1, F10.2, F10.3</t>
  </si>
  <si>
    <t>2.0/2.1 INKA Integration</t>
  </si>
  <si>
    <t>Sync + event subscriptions</t>
  </si>
  <si>
    <t>F10.4, F10.5</t>
  </si>
  <si>
    <t>Scaling + SLA scheduling</t>
  </si>
  <si>
    <t>F11.3, F11.4</t>
  </si>
  <si>
    <t>Streaming ingest + real-time KPI + live UI</t>
  </si>
  <si>
    <t>F12.1, F12.2, F12.4</t>
  </si>
  <si>
    <t>Rules engine + feedback + explainability</t>
  </si>
  <si>
    <t>F13.1, F13.2, F13.4</t>
  </si>
  <si>
    <t>3.2/3.3 Economics &amp; Enterprise</t>
  </si>
  <si>
    <t>Economics + BI/notifications + governance/tenancy + perf</t>
  </si>
  <si>
    <t>F12.3, F14.1, F14.2, F14.3, F15.1, F15.3, F15.4, F16.1, F16.4, F17.1, F17.2, F17.4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</si>
</sst>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vertical="top" wrapText="1"/>
    </xf>
    <xf numFmtId="0" fontId="2" fillId="0" borderId="0" xfId="1" applyFont="1"/>
    <xf numFmtId="0" fontId="3" fillId="0" borderId="0" xfId="1" applyFont="1"/>
    <xf numFmtId="0" fontId="1" fillId="2" borderId="0" xfId="1" applyFont="1" applyFill="1"/>
    <xf numFmtId="0" fontId="0" fillId="0" borderId="1" xfId="1" applyFont="1" applyBorder="1"/>
    <xf numFmtId="0" fontId="2" fillId="0" borderId="1" xfId="1" applyFont="1" applyBorder="1"/>
    <xf numFmtId="164" fontId="0" fillId="0" borderId="0" xfId="1" applyNumberFormat="1" applyFont="1"/>
    <xf numFmtId="0" fontId="0" fillId="0" borderId="0" xfId="1" applyFont="1" applyAlignment="1">
      <alignment vertical="top" wrapText="1"/>
    </xf>
    <xf numFmtId="1" fontId="0" fillId="0" borderId="0" xfId="1" applyNumberFormat="1" applyFont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6">
    <dxf>
      <fill>
        <patternFill>
          <bgColor rgb="FFE7E6E6"/>
        </patternFill>
      </fill>
    </dxf>
    <dxf>
      <fill>
        <patternFill>
          <bgColor rgb="FFE2EFDA"/>
        </patternFill>
      </fill>
    </dxf>
    <dxf>
      <fill>
        <patternFill>
          <bgColor rgb="FFD9E1F2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cklogTable" displayName="BacklogTable" ref="A1:S47">
  <autoFilter ref="A1:S47" xr:uid="{00000000-0009-0000-0100-000001000000}"/>
  <tableColumns count="19">
    <tableColumn id="1" xr3:uid="{00000000-0010-0000-0000-000001000000}" name="Card ID"/>
    <tableColumn id="2" xr3:uid="{00000000-0010-0000-0000-000002000000}" name="Epic ID"/>
    <tableColumn id="3" xr3:uid="{00000000-0010-0000-0000-000003000000}" name="Epic"/>
    <tableColumn id="4" xr3:uid="{00000000-0010-0000-0000-000004000000}" name="Type"/>
    <tableColumn id="5" xr3:uid="{00000000-0010-0000-0000-000005000000}" name="Title"/>
    <tableColumn id="6" xr3:uid="{00000000-0010-0000-0000-000006000000}" name="Component"/>
    <tableColumn id="7" xr3:uid="{00000000-0010-0000-0000-000007000000}" name="Priority"/>
    <tableColumn id="8" xr3:uid="{00000000-0010-0000-0000-000008000000}" name="Status"/>
    <tableColumn id="9" xr3:uid="{00000000-0010-0000-0000-000009000000}" name="Owner"/>
    <tableColumn id="10" xr3:uid="{00000000-0010-0000-0000-00000A000000}" name="Sprint"/>
    <tableColumn id="11" xr3:uid="{00000000-0010-0000-0000-00000B000000}" name="Estimate (SP)"/>
    <tableColumn id="12" xr3:uid="{00000000-0010-0000-0000-00000C000000}" name="Dependencies"/>
    <tableColumn id="13" xr3:uid="{00000000-0010-0000-0000-00000D000000}" name="Description / Goal"/>
    <tableColumn id="14" xr3:uid="{00000000-0010-0000-0000-00000E000000}" name="Scope In"/>
    <tableColumn id="15" xr3:uid="{00000000-0010-0000-0000-00000F000000}" name="Scope Out"/>
    <tableColumn id="16" xr3:uid="{00000000-0010-0000-0000-000010000000}" name="Acceptance Criteria"/>
    <tableColumn id="17" xr3:uid="{00000000-0010-0000-0000-000011000000}" name="Tests"/>
    <tableColumn id="18" xr3:uid="{00000000-0010-0000-0000-000012000000}" name="Deliverables"/>
    <tableColumn id="19" xr3:uid="{00000000-0010-0000-0000-000013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6"/>
  <sheetViews>
    <sheetView tabSelected="1" topLeftCell="A42" workbookViewId="0"/>
  </sheetViews>
  <sheetFormatPr defaultRowHeight="14.25" x14ac:dyDescent="0.45"/>
  <cols>
    <col min="1" max="1" width="10" customWidth="1"/>
    <col min="2" max="2" width="8" customWidth="1"/>
    <col min="3" max="3" width="28" customWidth="1"/>
    <col min="4" max="4" width="10" customWidth="1"/>
    <col min="5" max="5" width="38" customWidth="1"/>
    <col min="6" max="6" width="18" customWidth="1"/>
    <col min="7" max="7" width="8" customWidth="1"/>
    <col min="8" max="8" width="12" customWidth="1"/>
    <col min="9" max="9" width="16" customWidth="1"/>
    <col min="10" max="10" width="10" customWidth="1"/>
    <col min="11" max="11" width="12" customWidth="1"/>
    <col min="12" max="12" width="18" customWidth="1"/>
    <col min="13" max="13" width="52" customWidth="1"/>
    <col min="14" max="14" width="44" customWidth="1"/>
    <col min="15" max="15" width="38" customWidth="1"/>
    <col min="16" max="16" width="54" customWidth="1"/>
    <col min="17" max="17" width="40" customWidth="1"/>
    <col min="18" max="18" width="34" customWidth="1"/>
    <col min="19" max="19" width="22" customWidth="1"/>
    <col min="20" max="21" width="10" customWidth="1"/>
    <col min="22" max="22" width="8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8.5" x14ac:dyDescent="0.45">
      <c r="A2" s="2" t="s">
        <v>22</v>
      </c>
      <c r="B2" s="2" t="s">
        <v>22</v>
      </c>
      <c r="C2" s="2" t="s">
        <v>23</v>
      </c>
      <c r="D2" s="2" t="s">
        <v>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27</v>
      </c>
      <c r="L2" s="2" t="s">
        <v>27</v>
      </c>
      <c r="M2" s="2" t="s">
        <v>29</v>
      </c>
      <c r="N2" s="2" t="s">
        <v>27</v>
      </c>
      <c r="O2" s="2" t="s">
        <v>27</v>
      </c>
      <c r="P2" s="2" t="s">
        <v>27</v>
      </c>
      <c r="Q2" s="2" t="s">
        <v>27</v>
      </c>
      <c r="R2" s="2" t="s">
        <v>27</v>
      </c>
      <c r="S2" s="2" t="s">
        <v>27</v>
      </c>
      <c r="T2" s="9" t="s">
        <v>30</v>
      </c>
      <c r="U2" s="9" t="s">
        <v>28</v>
      </c>
      <c r="V2" s="10"/>
    </row>
    <row r="3" spans="1:22" ht="28.5" x14ac:dyDescent="0.45">
      <c r="A3" s="2" t="s">
        <v>31</v>
      </c>
      <c r="B3" s="2" t="s">
        <v>31</v>
      </c>
      <c r="C3" s="2" t="s">
        <v>32</v>
      </c>
      <c r="D3" s="2" t="s">
        <v>2</v>
      </c>
      <c r="E3" s="2" t="s">
        <v>32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33</v>
      </c>
      <c r="K3" s="2" t="s">
        <v>27</v>
      </c>
      <c r="L3" s="2" t="s">
        <v>27</v>
      </c>
      <c r="M3" s="2" t="s">
        <v>34</v>
      </c>
      <c r="N3" s="2" t="s">
        <v>27</v>
      </c>
      <c r="O3" s="2" t="s">
        <v>27</v>
      </c>
      <c r="P3" s="2" t="s">
        <v>27</v>
      </c>
      <c r="Q3" s="2" t="s">
        <v>27</v>
      </c>
      <c r="R3" s="2" t="s">
        <v>27</v>
      </c>
      <c r="S3" s="2" t="s">
        <v>27</v>
      </c>
      <c r="T3" s="9" t="s">
        <v>30</v>
      </c>
      <c r="U3" s="9" t="s">
        <v>33</v>
      </c>
      <c r="V3" s="10"/>
    </row>
    <row r="4" spans="1:22" ht="28.5" x14ac:dyDescent="0.45">
      <c r="A4" s="2" t="s">
        <v>35</v>
      </c>
      <c r="B4" s="2" t="s">
        <v>35</v>
      </c>
      <c r="C4" s="2" t="s">
        <v>36</v>
      </c>
      <c r="D4" s="2" t="s">
        <v>2</v>
      </c>
      <c r="E4" s="2" t="s">
        <v>36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33</v>
      </c>
      <c r="K4" s="2" t="s">
        <v>27</v>
      </c>
      <c r="L4" s="2" t="s">
        <v>27</v>
      </c>
      <c r="M4" s="2" t="s">
        <v>37</v>
      </c>
      <c r="N4" s="2" t="s">
        <v>27</v>
      </c>
      <c r="O4" s="2" t="s">
        <v>27</v>
      </c>
      <c r="P4" s="2" t="s">
        <v>27</v>
      </c>
      <c r="Q4" s="2" t="s">
        <v>27</v>
      </c>
      <c r="R4" s="2" t="s">
        <v>27</v>
      </c>
      <c r="S4" s="2" t="s">
        <v>27</v>
      </c>
      <c r="T4" s="9" t="s">
        <v>30</v>
      </c>
      <c r="U4" s="9" t="s">
        <v>33</v>
      </c>
      <c r="V4" s="10"/>
    </row>
    <row r="5" spans="1:22" ht="28.5" x14ac:dyDescent="0.45">
      <c r="A5" s="2" t="s">
        <v>38</v>
      </c>
      <c r="B5" s="2" t="s">
        <v>38</v>
      </c>
      <c r="C5" s="2" t="s">
        <v>39</v>
      </c>
      <c r="D5" s="2" t="s">
        <v>2</v>
      </c>
      <c r="E5" s="2" t="s">
        <v>39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40</v>
      </c>
      <c r="K5" s="2" t="s">
        <v>27</v>
      </c>
      <c r="L5" s="2" t="s">
        <v>27</v>
      </c>
      <c r="M5" s="2" t="s">
        <v>41</v>
      </c>
      <c r="N5" s="2" t="s">
        <v>27</v>
      </c>
      <c r="O5" s="2" t="s">
        <v>27</v>
      </c>
      <c r="P5" s="2" t="s">
        <v>27</v>
      </c>
      <c r="Q5" s="2" t="s">
        <v>27</v>
      </c>
      <c r="R5" s="2" t="s">
        <v>27</v>
      </c>
      <c r="S5" s="2" t="s">
        <v>27</v>
      </c>
      <c r="T5" s="9" t="s">
        <v>30</v>
      </c>
      <c r="U5" s="9" t="s">
        <v>40</v>
      </c>
      <c r="V5" s="10"/>
    </row>
    <row r="6" spans="1:22" ht="28.5" x14ac:dyDescent="0.45">
      <c r="A6" s="2" t="s">
        <v>42</v>
      </c>
      <c r="B6" s="2" t="s">
        <v>42</v>
      </c>
      <c r="C6" s="2" t="s">
        <v>43</v>
      </c>
      <c r="D6" s="2" t="s">
        <v>2</v>
      </c>
      <c r="E6" s="2" t="s">
        <v>43</v>
      </c>
      <c r="F6" s="2" t="s">
        <v>24</v>
      </c>
      <c r="G6" s="2" t="s">
        <v>25</v>
      </c>
      <c r="H6" s="2" t="s">
        <v>26</v>
      </c>
      <c r="I6" s="2" t="s">
        <v>27</v>
      </c>
      <c r="J6" s="2" t="s">
        <v>44</v>
      </c>
      <c r="K6" s="2" t="s">
        <v>27</v>
      </c>
      <c r="L6" s="2" t="s">
        <v>27</v>
      </c>
      <c r="M6" s="2" t="s">
        <v>45</v>
      </c>
      <c r="N6" s="2" t="s">
        <v>27</v>
      </c>
      <c r="O6" s="2" t="s">
        <v>27</v>
      </c>
      <c r="P6" s="2" t="s">
        <v>27</v>
      </c>
      <c r="Q6" s="2" t="s">
        <v>27</v>
      </c>
      <c r="R6" s="2" t="s">
        <v>27</v>
      </c>
      <c r="S6" s="2" t="s">
        <v>27</v>
      </c>
      <c r="T6" s="9" t="s">
        <v>30</v>
      </c>
      <c r="U6" s="9" t="s">
        <v>44</v>
      </c>
      <c r="V6" s="10"/>
    </row>
    <row r="7" spans="1:22" ht="28.5" x14ac:dyDescent="0.45">
      <c r="A7" s="2" t="s">
        <v>46</v>
      </c>
      <c r="B7" s="2" t="s">
        <v>46</v>
      </c>
      <c r="C7" s="2" t="s">
        <v>47</v>
      </c>
      <c r="D7" s="2" t="s">
        <v>2</v>
      </c>
      <c r="E7" s="2" t="s">
        <v>47</v>
      </c>
      <c r="F7" s="2" t="s">
        <v>24</v>
      </c>
      <c r="G7" s="2" t="s">
        <v>25</v>
      </c>
      <c r="H7" s="2" t="s">
        <v>26</v>
      </c>
      <c r="I7" s="2" t="s">
        <v>27</v>
      </c>
      <c r="J7" s="2" t="s">
        <v>48</v>
      </c>
      <c r="K7" s="2" t="s">
        <v>27</v>
      </c>
      <c r="L7" s="2" t="s">
        <v>27</v>
      </c>
      <c r="M7" s="2" t="s">
        <v>49</v>
      </c>
      <c r="N7" s="2" t="s">
        <v>27</v>
      </c>
      <c r="O7" s="2" t="s">
        <v>27</v>
      </c>
      <c r="P7" s="2" t="s">
        <v>27</v>
      </c>
      <c r="Q7" s="2" t="s">
        <v>27</v>
      </c>
      <c r="R7" s="2" t="s">
        <v>27</v>
      </c>
      <c r="S7" s="2" t="s">
        <v>27</v>
      </c>
      <c r="T7" s="9" t="s">
        <v>30</v>
      </c>
      <c r="U7" s="9" t="s">
        <v>48</v>
      </c>
      <c r="V7" s="10"/>
    </row>
    <row r="8" spans="1:22" ht="28.5" x14ac:dyDescent="0.45">
      <c r="A8" s="2" t="s">
        <v>50</v>
      </c>
      <c r="B8" s="2" t="s">
        <v>50</v>
      </c>
      <c r="C8" s="2" t="s">
        <v>51</v>
      </c>
      <c r="D8" s="2" t="s">
        <v>2</v>
      </c>
      <c r="E8" s="2" t="s">
        <v>51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52</v>
      </c>
      <c r="K8" s="2" t="s">
        <v>27</v>
      </c>
      <c r="L8" s="2" t="s">
        <v>27</v>
      </c>
      <c r="M8" s="2" t="s">
        <v>53</v>
      </c>
      <c r="N8" s="2" t="s">
        <v>27</v>
      </c>
      <c r="O8" s="2" t="s">
        <v>27</v>
      </c>
      <c r="P8" s="2" t="s">
        <v>27</v>
      </c>
      <c r="Q8" s="2" t="s">
        <v>27</v>
      </c>
      <c r="R8" s="2" t="s">
        <v>27</v>
      </c>
      <c r="S8" s="2" t="s">
        <v>27</v>
      </c>
      <c r="T8" s="9" t="s">
        <v>30</v>
      </c>
      <c r="U8" s="9" t="s">
        <v>52</v>
      </c>
      <c r="V8" s="10"/>
    </row>
    <row r="9" spans="1:22" ht="28.5" x14ac:dyDescent="0.45">
      <c r="A9" s="2" t="s">
        <v>54</v>
      </c>
      <c r="B9" s="2" t="s">
        <v>54</v>
      </c>
      <c r="C9" s="2" t="s">
        <v>55</v>
      </c>
      <c r="D9" s="2" t="s">
        <v>2</v>
      </c>
      <c r="E9" s="2" t="s">
        <v>55</v>
      </c>
      <c r="F9" s="2" t="s">
        <v>24</v>
      </c>
      <c r="G9" s="2" t="s">
        <v>25</v>
      </c>
      <c r="H9" s="2" t="s">
        <v>26</v>
      </c>
      <c r="I9" s="2" t="s">
        <v>27</v>
      </c>
      <c r="J9" s="2" t="s">
        <v>52</v>
      </c>
      <c r="K9" s="2" t="s">
        <v>27</v>
      </c>
      <c r="L9" s="2" t="s">
        <v>27</v>
      </c>
      <c r="M9" s="2" t="s">
        <v>56</v>
      </c>
      <c r="N9" s="2" t="s">
        <v>27</v>
      </c>
      <c r="O9" s="2" t="s">
        <v>27</v>
      </c>
      <c r="P9" s="2" t="s">
        <v>27</v>
      </c>
      <c r="Q9" s="2" t="s">
        <v>27</v>
      </c>
      <c r="R9" s="2" t="s">
        <v>27</v>
      </c>
      <c r="S9" s="2" t="s">
        <v>27</v>
      </c>
      <c r="T9" s="9" t="s">
        <v>30</v>
      </c>
      <c r="U9" s="9" t="s">
        <v>52</v>
      </c>
      <c r="V9" s="10"/>
    </row>
    <row r="10" spans="1:22" ht="28.5" x14ac:dyDescent="0.45">
      <c r="A10" s="2" t="s">
        <v>57</v>
      </c>
      <c r="B10" s="2" t="s">
        <v>57</v>
      </c>
      <c r="C10" s="2" t="s">
        <v>58</v>
      </c>
      <c r="D10" s="2" t="s">
        <v>2</v>
      </c>
      <c r="E10" s="2" t="s">
        <v>58</v>
      </c>
      <c r="F10" s="2" t="s">
        <v>24</v>
      </c>
      <c r="G10" s="2" t="s">
        <v>25</v>
      </c>
      <c r="H10" s="2" t="s">
        <v>26</v>
      </c>
      <c r="I10" s="2" t="s">
        <v>27</v>
      </c>
      <c r="J10" s="2" t="s">
        <v>48</v>
      </c>
      <c r="K10" s="2" t="s">
        <v>27</v>
      </c>
      <c r="L10" s="2" t="s">
        <v>27</v>
      </c>
      <c r="M10" s="2" t="s">
        <v>59</v>
      </c>
      <c r="N10" s="2" t="s">
        <v>27</v>
      </c>
      <c r="O10" s="2" t="s">
        <v>27</v>
      </c>
      <c r="P10" s="2" t="s">
        <v>27</v>
      </c>
      <c r="Q10" s="2" t="s">
        <v>27</v>
      </c>
      <c r="R10" s="2" t="s">
        <v>27</v>
      </c>
      <c r="S10" s="2" t="s">
        <v>27</v>
      </c>
      <c r="T10" s="9" t="s">
        <v>30</v>
      </c>
      <c r="U10" s="9" t="s">
        <v>48</v>
      </c>
      <c r="V10" s="10"/>
    </row>
    <row r="11" spans="1:22" ht="28.5" x14ac:dyDescent="0.45">
      <c r="A11" s="2" t="s">
        <v>60</v>
      </c>
      <c r="B11" s="2" t="s">
        <v>60</v>
      </c>
      <c r="C11" s="2" t="s">
        <v>61</v>
      </c>
      <c r="D11" s="2" t="s">
        <v>2</v>
      </c>
      <c r="E11" s="2" t="s">
        <v>61</v>
      </c>
      <c r="F11" s="2" t="s">
        <v>24</v>
      </c>
      <c r="G11" s="2" t="s">
        <v>25</v>
      </c>
      <c r="H11" s="2" t="s">
        <v>26</v>
      </c>
      <c r="I11" s="2" t="s">
        <v>27</v>
      </c>
      <c r="J11" s="2" t="s">
        <v>28</v>
      </c>
      <c r="K11" s="2" t="s">
        <v>27</v>
      </c>
      <c r="L11" s="2" t="s">
        <v>27</v>
      </c>
      <c r="M11" s="2" t="s">
        <v>62</v>
      </c>
      <c r="N11" s="2" t="s">
        <v>27</v>
      </c>
      <c r="O11" s="2" t="s">
        <v>27</v>
      </c>
      <c r="P11" s="2" t="s">
        <v>27</v>
      </c>
      <c r="Q11" s="2" t="s">
        <v>27</v>
      </c>
      <c r="R11" s="2" t="s">
        <v>27</v>
      </c>
      <c r="S11" s="2" t="s">
        <v>27</v>
      </c>
      <c r="T11" s="9" t="s">
        <v>30</v>
      </c>
      <c r="U11" s="9" t="s">
        <v>28</v>
      </c>
      <c r="V11" s="10"/>
    </row>
    <row r="12" spans="1:22" ht="42.75" x14ac:dyDescent="0.45">
      <c r="A12" s="2" t="s">
        <v>63</v>
      </c>
      <c r="B12" s="2" t="s">
        <v>22</v>
      </c>
      <c r="C12" s="2" t="s">
        <v>23</v>
      </c>
      <c r="D12" s="2" t="s">
        <v>64</v>
      </c>
      <c r="E12" s="2" t="s">
        <v>65</v>
      </c>
      <c r="F12" s="2" t="s">
        <v>24</v>
      </c>
      <c r="G12" s="2" t="s">
        <v>25</v>
      </c>
      <c r="H12" s="2" t="s">
        <v>26</v>
      </c>
      <c r="I12" s="2" t="s">
        <v>27</v>
      </c>
      <c r="J12" s="2" t="s">
        <v>28</v>
      </c>
      <c r="K12" s="2">
        <v>2</v>
      </c>
      <c r="L12" s="2" t="s">
        <v>27</v>
      </c>
      <c r="M12" s="2" t="s">
        <v>66</v>
      </c>
      <c r="N12" s="2" t="s">
        <v>67</v>
      </c>
      <c r="O12" s="2" t="s">
        <v>68</v>
      </c>
      <c r="P12" s="2" t="s">
        <v>69</v>
      </c>
      <c r="Q12" s="2" t="s">
        <v>70</v>
      </c>
      <c r="R12" s="2" t="s">
        <v>71</v>
      </c>
      <c r="S12" s="2" t="s">
        <v>27</v>
      </c>
      <c r="T12" s="9" t="s">
        <v>30</v>
      </c>
      <c r="U12" s="9" t="s">
        <v>28</v>
      </c>
      <c r="V12" s="10">
        <v>1</v>
      </c>
    </row>
    <row r="13" spans="1:22" ht="42.75" x14ac:dyDescent="0.45">
      <c r="A13" s="2" t="s">
        <v>72</v>
      </c>
      <c r="B13" s="2" t="s">
        <v>22</v>
      </c>
      <c r="C13" s="2" t="s">
        <v>23</v>
      </c>
      <c r="D13" s="2" t="s">
        <v>64</v>
      </c>
      <c r="E13" s="2" t="s">
        <v>73</v>
      </c>
      <c r="F13" s="2" t="s">
        <v>74</v>
      </c>
      <c r="G13" s="2" t="s">
        <v>25</v>
      </c>
      <c r="H13" s="2" t="s">
        <v>26</v>
      </c>
      <c r="I13" s="2" t="s">
        <v>27</v>
      </c>
      <c r="J13" s="2" t="s">
        <v>28</v>
      </c>
      <c r="K13" s="2">
        <v>5</v>
      </c>
      <c r="L13" s="2" t="s">
        <v>27</v>
      </c>
      <c r="M13" s="2" t="s">
        <v>75</v>
      </c>
      <c r="N13" s="2" t="s">
        <v>76</v>
      </c>
      <c r="O13" s="2" t="s">
        <v>77</v>
      </c>
      <c r="P13" s="2" t="s">
        <v>78</v>
      </c>
      <c r="Q13" s="2" t="s">
        <v>79</v>
      </c>
      <c r="R13" s="2" t="s">
        <v>80</v>
      </c>
      <c r="S13" s="2" t="s">
        <v>27</v>
      </c>
      <c r="T13" s="9" t="s">
        <v>30</v>
      </c>
      <c r="U13" s="9" t="s">
        <v>28</v>
      </c>
      <c r="V13" s="10">
        <v>2</v>
      </c>
    </row>
    <row r="14" spans="1:22" ht="42.75" x14ac:dyDescent="0.45">
      <c r="A14" s="2" t="s">
        <v>81</v>
      </c>
      <c r="B14" s="2" t="s">
        <v>22</v>
      </c>
      <c r="C14" s="2" t="s">
        <v>23</v>
      </c>
      <c r="D14" s="2" t="s">
        <v>64</v>
      </c>
      <c r="E14" s="2" t="s">
        <v>82</v>
      </c>
      <c r="F14" s="2" t="s">
        <v>83</v>
      </c>
      <c r="G14" s="2" t="s">
        <v>84</v>
      </c>
      <c r="H14" s="2" t="s">
        <v>26</v>
      </c>
      <c r="I14" s="2" t="s">
        <v>27</v>
      </c>
      <c r="J14" s="2" t="s">
        <v>28</v>
      </c>
      <c r="K14" s="2">
        <v>2</v>
      </c>
      <c r="L14" s="2" t="s">
        <v>27</v>
      </c>
      <c r="M14" s="2" t="s">
        <v>85</v>
      </c>
      <c r="N14" s="2" t="s">
        <v>86</v>
      </c>
      <c r="O14" s="2" t="s">
        <v>87</v>
      </c>
      <c r="P14" s="2" t="s">
        <v>88</v>
      </c>
      <c r="Q14" s="2" t="s">
        <v>89</v>
      </c>
      <c r="R14" s="2" t="s">
        <v>90</v>
      </c>
      <c r="S14" s="2" t="s">
        <v>27</v>
      </c>
      <c r="T14" s="9" t="s">
        <v>30</v>
      </c>
      <c r="U14" s="9" t="s">
        <v>28</v>
      </c>
      <c r="V14" s="10">
        <v>3</v>
      </c>
    </row>
    <row r="15" spans="1:22" ht="42.75" x14ac:dyDescent="0.45">
      <c r="A15" s="2" t="s">
        <v>91</v>
      </c>
      <c r="B15" s="2" t="s">
        <v>31</v>
      </c>
      <c r="C15" s="2" t="s">
        <v>32</v>
      </c>
      <c r="D15" s="2" t="s">
        <v>64</v>
      </c>
      <c r="E15" s="2" t="s">
        <v>92</v>
      </c>
      <c r="F15" s="2" t="s">
        <v>93</v>
      </c>
      <c r="G15" s="2" t="s">
        <v>25</v>
      </c>
      <c r="H15" s="2" t="s">
        <v>26</v>
      </c>
      <c r="I15" s="2" t="s">
        <v>27</v>
      </c>
      <c r="J15" s="2" t="s">
        <v>33</v>
      </c>
      <c r="K15" s="2">
        <v>3</v>
      </c>
      <c r="L15" s="2" t="s">
        <v>81</v>
      </c>
      <c r="M15" s="2" t="s">
        <v>94</v>
      </c>
      <c r="N15" s="2" t="s">
        <v>95</v>
      </c>
      <c r="O15" s="2" t="s">
        <v>96</v>
      </c>
      <c r="P15" s="2" t="s">
        <v>97</v>
      </c>
      <c r="Q15" s="2" t="s">
        <v>98</v>
      </c>
      <c r="R15" s="2" t="s">
        <v>99</v>
      </c>
      <c r="S15" s="2" t="s">
        <v>27</v>
      </c>
      <c r="T15" s="9" t="s">
        <v>30</v>
      </c>
      <c r="U15" s="9" t="s">
        <v>33</v>
      </c>
      <c r="V15" s="10">
        <v>6</v>
      </c>
    </row>
    <row r="16" spans="1:22" ht="42.75" x14ac:dyDescent="0.45">
      <c r="A16" s="2" t="s">
        <v>100</v>
      </c>
      <c r="B16" s="2" t="s">
        <v>31</v>
      </c>
      <c r="C16" s="2" t="s">
        <v>32</v>
      </c>
      <c r="D16" s="2" t="s">
        <v>64</v>
      </c>
      <c r="E16" s="2" t="s">
        <v>101</v>
      </c>
      <c r="F16" s="2" t="s">
        <v>102</v>
      </c>
      <c r="G16" s="2" t="s">
        <v>25</v>
      </c>
      <c r="H16" s="2" t="s">
        <v>26</v>
      </c>
      <c r="I16" s="2" t="s">
        <v>27</v>
      </c>
      <c r="J16" s="2" t="s">
        <v>33</v>
      </c>
      <c r="K16" s="2">
        <v>5</v>
      </c>
      <c r="L16" s="2" t="s">
        <v>91</v>
      </c>
      <c r="M16" s="2" t="s">
        <v>103</v>
      </c>
      <c r="N16" s="2" t="s">
        <v>104</v>
      </c>
      <c r="O16" s="2" t="s">
        <v>105</v>
      </c>
      <c r="P16" s="2" t="s">
        <v>106</v>
      </c>
      <c r="Q16" s="2" t="s">
        <v>107</v>
      </c>
      <c r="R16" s="2" t="s">
        <v>108</v>
      </c>
      <c r="S16" s="2" t="s">
        <v>27</v>
      </c>
      <c r="T16" s="9" t="s">
        <v>30</v>
      </c>
      <c r="U16" s="9" t="s">
        <v>33</v>
      </c>
      <c r="V16" s="10">
        <v>7</v>
      </c>
    </row>
    <row r="17" spans="1:22" ht="28.5" x14ac:dyDescent="0.45">
      <c r="A17" s="2" t="s">
        <v>109</v>
      </c>
      <c r="B17" s="2" t="s">
        <v>31</v>
      </c>
      <c r="C17" s="2" t="s">
        <v>32</v>
      </c>
      <c r="D17" s="2" t="s">
        <v>64</v>
      </c>
      <c r="E17" s="2" t="s">
        <v>110</v>
      </c>
      <c r="F17" s="2" t="s">
        <v>111</v>
      </c>
      <c r="G17" s="2" t="s">
        <v>25</v>
      </c>
      <c r="H17" s="2" t="s">
        <v>26</v>
      </c>
      <c r="I17" s="2" t="s">
        <v>27</v>
      </c>
      <c r="J17" s="2" t="s">
        <v>33</v>
      </c>
      <c r="K17" s="2">
        <v>5</v>
      </c>
      <c r="L17" s="2" t="s">
        <v>112</v>
      </c>
      <c r="M17" s="2" t="s">
        <v>113</v>
      </c>
      <c r="N17" s="2" t="s">
        <v>114</v>
      </c>
      <c r="O17" s="2" t="s">
        <v>115</v>
      </c>
      <c r="P17" s="2" t="s">
        <v>116</v>
      </c>
      <c r="Q17" s="2" t="s">
        <v>117</v>
      </c>
      <c r="R17" s="2" t="s">
        <v>118</v>
      </c>
      <c r="S17" s="2" t="s">
        <v>27</v>
      </c>
      <c r="T17" s="9" t="s">
        <v>30</v>
      </c>
      <c r="U17" s="9" t="s">
        <v>33</v>
      </c>
      <c r="V17" s="10">
        <v>8</v>
      </c>
    </row>
    <row r="18" spans="1:22" ht="42.75" x14ac:dyDescent="0.45">
      <c r="A18" s="2" t="s">
        <v>119</v>
      </c>
      <c r="B18" s="2" t="s">
        <v>31</v>
      </c>
      <c r="C18" s="2" t="s">
        <v>32</v>
      </c>
      <c r="D18" s="2" t="s">
        <v>64</v>
      </c>
      <c r="E18" s="2" t="s">
        <v>120</v>
      </c>
      <c r="F18" s="2" t="s">
        <v>121</v>
      </c>
      <c r="G18" s="2" t="s">
        <v>25</v>
      </c>
      <c r="H18" s="2" t="s">
        <v>26</v>
      </c>
      <c r="I18" s="2" t="s">
        <v>27</v>
      </c>
      <c r="J18" s="2" t="s">
        <v>33</v>
      </c>
      <c r="K18" s="2">
        <v>5</v>
      </c>
      <c r="L18" s="2" t="s">
        <v>122</v>
      </c>
      <c r="M18" s="2" t="s">
        <v>123</v>
      </c>
      <c r="N18" s="2" t="s">
        <v>124</v>
      </c>
      <c r="O18" s="2" t="s">
        <v>125</v>
      </c>
      <c r="P18" s="2" t="s">
        <v>126</v>
      </c>
      <c r="Q18" s="2" t="s">
        <v>127</v>
      </c>
      <c r="R18" s="2" t="s">
        <v>128</v>
      </c>
      <c r="S18" s="2" t="s">
        <v>27</v>
      </c>
      <c r="T18" s="9" t="s">
        <v>30</v>
      </c>
      <c r="U18" s="9" t="s">
        <v>33</v>
      </c>
      <c r="V18" s="10">
        <v>9</v>
      </c>
    </row>
    <row r="19" spans="1:22" ht="28.5" x14ac:dyDescent="0.45">
      <c r="A19" s="2" t="s">
        <v>129</v>
      </c>
      <c r="B19" s="2" t="s">
        <v>35</v>
      </c>
      <c r="C19" s="2" t="s">
        <v>36</v>
      </c>
      <c r="D19" s="2" t="s">
        <v>64</v>
      </c>
      <c r="E19" s="2" t="s">
        <v>130</v>
      </c>
      <c r="F19" s="2" t="s">
        <v>131</v>
      </c>
      <c r="G19" s="2" t="s">
        <v>25</v>
      </c>
      <c r="H19" s="2" t="s">
        <v>26</v>
      </c>
      <c r="I19" s="2" t="s">
        <v>27</v>
      </c>
      <c r="J19" s="2" t="s">
        <v>33</v>
      </c>
      <c r="K19" s="2">
        <v>5</v>
      </c>
      <c r="L19" s="2" t="s">
        <v>132</v>
      </c>
      <c r="M19" s="2" t="s">
        <v>133</v>
      </c>
      <c r="N19" s="2" t="s">
        <v>134</v>
      </c>
      <c r="O19" s="2" t="s">
        <v>135</v>
      </c>
      <c r="P19" s="2" t="s">
        <v>136</v>
      </c>
      <c r="Q19" s="2" t="s">
        <v>137</v>
      </c>
      <c r="R19" s="2" t="s">
        <v>138</v>
      </c>
      <c r="S19" s="2" t="s">
        <v>27</v>
      </c>
      <c r="T19" s="9" t="s">
        <v>30</v>
      </c>
      <c r="U19" s="9" t="s">
        <v>33</v>
      </c>
      <c r="V19" s="10">
        <v>10</v>
      </c>
    </row>
    <row r="20" spans="1:22" ht="42.75" x14ac:dyDescent="0.45">
      <c r="A20" s="2" t="s">
        <v>139</v>
      </c>
      <c r="B20" s="2" t="s">
        <v>35</v>
      </c>
      <c r="C20" s="2" t="s">
        <v>36</v>
      </c>
      <c r="D20" s="2" t="s">
        <v>64</v>
      </c>
      <c r="E20" s="2" t="s">
        <v>140</v>
      </c>
      <c r="F20" s="2" t="s">
        <v>141</v>
      </c>
      <c r="G20" s="2" t="s">
        <v>25</v>
      </c>
      <c r="H20" s="2" t="s">
        <v>26</v>
      </c>
      <c r="I20" s="2" t="s">
        <v>27</v>
      </c>
      <c r="J20" s="2" t="s">
        <v>40</v>
      </c>
      <c r="K20" s="2">
        <v>8</v>
      </c>
      <c r="L20" s="2" t="s">
        <v>142</v>
      </c>
      <c r="M20" s="2" t="s">
        <v>143</v>
      </c>
      <c r="N20" s="2" t="s">
        <v>144</v>
      </c>
      <c r="O20" s="2" t="s">
        <v>145</v>
      </c>
      <c r="P20" s="2" t="s">
        <v>146</v>
      </c>
      <c r="Q20" s="2" t="s">
        <v>147</v>
      </c>
      <c r="R20" s="2" t="s">
        <v>148</v>
      </c>
      <c r="S20" s="2" t="s">
        <v>27</v>
      </c>
      <c r="T20" s="9" t="s">
        <v>30</v>
      </c>
      <c r="U20" s="9" t="s">
        <v>40</v>
      </c>
      <c r="V20" s="10">
        <v>11</v>
      </c>
    </row>
    <row r="21" spans="1:22" ht="28.5" x14ac:dyDescent="0.45">
      <c r="A21" s="2" t="s">
        <v>149</v>
      </c>
      <c r="B21" s="2" t="s">
        <v>35</v>
      </c>
      <c r="C21" s="2" t="s">
        <v>36</v>
      </c>
      <c r="D21" s="2" t="s">
        <v>64</v>
      </c>
      <c r="E21" s="2" t="s">
        <v>150</v>
      </c>
      <c r="F21" s="2" t="s">
        <v>141</v>
      </c>
      <c r="G21" s="2" t="s">
        <v>84</v>
      </c>
      <c r="H21" s="2" t="s">
        <v>26</v>
      </c>
      <c r="I21" s="2" t="s">
        <v>27</v>
      </c>
      <c r="J21" s="2" t="s">
        <v>40</v>
      </c>
      <c r="K21" s="2">
        <v>3</v>
      </c>
      <c r="L21" s="2" t="s">
        <v>151</v>
      </c>
      <c r="M21" s="2" t="s">
        <v>152</v>
      </c>
      <c r="N21" s="2" t="s">
        <v>153</v>
      </c>
      <c r="O21" s="2" t="s">
        <v>154</v>
      </c>
      <c r="P21" s="2" t="s">
        <v>155</v>
      </c>
      <c r="Q21" s="2" t="s">
        <v>156</v>
      </c>
      <c r="R21" s="2" t="s">
        <v>157</v>
      </c>
      <c r="S21" s="2" t="s">
        <v>27</v>
      </c>
      <c r="T21" s="9" t="s">
        <v>30</v>
      </c>
      <c r="U21" s="9" t="s">
        <v>40</v>
      </c>
      <c r="V21" s="10">
        <v>12</v>
      </c>
    </row>
    <row r="22" spans="1:22" ht="42.75" x14ac:dyDescent="0.45">
      <c r="A22" s="2" t="s">
        <v>158</v>
      </c>
      <c r="B22" s="2" t="s">
        <v>38</v>
      </c>
      <c r="C22" s="2" t="s">
        <v>39</v>
      </c>
      <c r="D22" s="2" t="s">
        <v>64</v>
      </c>
      <c r="E22" s="2" t="s">
        <v>159</v>
      </c>
      <c r="F22" s="2" t="s">
        <v>131</v>
      </c>
      <c r="G22" s="2" t="s">
        <v>25</v>
      </c>
      <c r="H22" s="2" t="s">
        <v>26</v>
      </c>
      <c r="I22" s="2" t="s">
        <v>27</v>
      </c>
      <c r="J22" s="2" t="s">
        <v>40</v>
      </c>
      <c r="K22" s="2">
        <v>8</v>
      </c>
      <c r="L22" s="2" t="s">
        <v>160</v>
      </c>
      <c r="M22" s="2" t="s">
        <v>161</v>
      </c>
      <c r="N22" s="2" t="s">
        <v>162</v>
      </c>
      <c r="O22" s="2" t="s">
        <v>163</v>
      </c>
      <c r="P22" s="2" t="s">
        <v>164</v>
      </c>
      <c r="Q22" s="2" t="s">
        <v>165</v>
      </c>
      <c r="R22" s="2" t="s">
        <v>166</v>
      </c>
      <c r="S22" s="2" t="s">
        <v>27</v>
      </c>
      <c r="T22" s="9" t="s">
        <v>30</v>
      </c>
      <c r="U22" s="9" t="s">
        <v>40</v>
      </c>
      <c r="V22" s="10">
        <v>13</v>
      </c>
    </row>
    <row r="23" spans="1:22" ht="57" x14ac:dyDescent="0.45">
      <c r="A23" s="2" t="s">
        <v>167</v>
      </c>
      <c r="B23" s="2" t="s">
        <v>38</v>
      </c>
      <c r="C23" s="2" t="s">
        <v>39</v>
      </c>
      <c r="D23" s="2" t="s">
        <v>64</v>
      </c>
      <c r="E23" s="2" t="s">
        <v>168</v>
      </c>
      <c r="F23" s="2" t="s">
        <v>111</v>
      </c>
      <c r="G23" s="2" t="s">
        <v>25</v>
      </c>
      <c r="H23" s="2" t="s">
        <v>26</v>
      </c>
      <c r="I23" s="2" t="s">
        <v>27</v>
      </c>
      <c r="J23" s="2" t="s">
        <v>40</v>
      </c>
      <c r="K23" s="2">
        <v>5</v>
      </c>
      <c r="L23" s="2" t="s">
        <v>72</v>
      </c>
      <c r="M23" s="2" t="s">
        <v>169</v>
      </c>
      <c r="N23" s="2" t="s">
        <v>170</v>
      </c>
      <c r="O23" s="2" t="s">
        <v>171</v>
      </c>
      <c r="P23" s="2" t="s">
        <v>172</v>
      </c>
      <c r="Q23" s="2" t="s">
        <v>173</v>
      </c>
      <c r="R23" s="2" t="s">
        <v>174</v>
      </c>
      <c r="S23" s="2" t="s">
        <v>27</v>
      </c>
      <c r="T23" s="9" t="s">
        <v>30</v>
      </c>
      <c r="U23" s="9" t="s">
        <v>40</v>
      </c>
      <c r="V23" s="10">
        <v>14</v>
      </c>
    </row>
    <row r="24" spans="1:22" ht="28.5" x14ac:dyDescent="0.45">
      <c r="A24" s="2" t="s">
        <v>175</v>
      </c>
      <c r="B24" s="2" t="s">
        <v>38</v>
      </c>
      <c r="C24" s="2" t="s">
        <v>39</v>
      </c>
      <c r="D24" s="2" t="s">
        <v>64</v>
      </c>
      <c r="E24" s="2" t="s">
        <v>176</v>
      </c>
      <c r="F24" s="2" t="s">
        <v>177</v>
      </c>
      <c r="G24" s="2" t="s">
        <v>25</v>
      </c>
      <c r="H24" s="2" t="s">
        <v>26</v>
      </c>
      <c r="I24" s="2" t="s">
        <v>27</v>
      </c>
      <c r="J24" s="2" t="s">
        <v>40</v>
      </c>
      <c r="K24" s="2">
        <v>8</v>
      </c>
      <c r="L24" s="2" t="s">
        <v>72</v>
      </c>
      <c r="M24" s="2" t="s">
        <v>178</v>
      </c>
      <c r="N24" s="2" t="s">
        <v>179</v>
      </c>
      <c r="O24" s="2" t="s">
        <v>180</v>
      </c>
      <c r="P24" s="2" t="s">
        <v>181</v>
      </c>
      <c r="Q24" s="2" t="s">
        <v>182</v>
      </c>
      <c r="R24" s="2" t="s">
        <v>183</v>
      </c>
      <c r="S24" s="2" t="s">
        <v>27</v>
      </c>
      <c r="T24" s="9" t="s">
        <v>30</v>
      </c>
      <c r="U24" s="9" t="s">
        <v>40</v>
      </c>
      <c r="V24" s="10">
        <v>15</v>
      </c>
    </row>
    <row r="25" spans="1:22" ht="28.5" x14ac:dyDescent="0.45">
      <c r="A25" s="2" t="s">
        <v>184</v>
      </c>
      <c r="B25" s="2" t="s">
        <v>38</v>
      </c>
      <c r="C25" s="2" t="s">
        <v>39</v>
      </c>
      <c r="D25" s="2" t="s">
        <v>64</v>
      </c>
      <c r="E25" s="2" t="s">
        <v>185</v>
      </c>
      <c r="F25" s="2" t="s">
        <v>74</v>
      </c>
      <c r="G25" s="2" t="s">
        <v>84</v>
      </c>
      <c r="H25" s="2" t="s">
        <v>26</v>
      </c>
      <c r="I25" s="2" t="s">
        <v>27</v>
      </c>
      <c r="J25" s="2" t="s">
        <v>44</v>
      </c>
      <c r="K25" s="2">
        <v>5</v>
      </c>
      <c r="L25" s="2" t="s">
        <v>186</v>
      </c>
      <c r="M25" s="2" t="s">
        <v>187</v>
      </c>
      <c r="N25" s="2" t="s">
        <v>188</v>
      </c>
      <c r="O25" s="2" t="s">
        <v>189</v>
      </c>
      <c r="P25" s="2" t="s">
        <v>190</v>
      </c>
      <c r="Q25" s="2" t="s">
        <v>191</v>
      </c>
      <c r="R25" s="2" t="s">
        <v>192</v>
      </c>
      <c r="S25" s="2" t="s">
        <v>27</v>
      </c>
      <c r="T25" s="9" t="s">
        <v>30</v>
      </c>
      <c r="U25" s="9" t="s">
        <v>44</v>
      </c>
      <c r="V25" s="10">
        <v>18</v>
      </c>
    </row>
    <row r="26" spans="1:22" ht="42.75" x14ac:dyDescent="0.45">
      <c r="A26" s="2" t="s">
        <v>193</v>
      </c>
      <c r="B26" s="2" t="s">
        <v>38</v>
      </c>
      <c r="C26" s="2" t="s">
        <v>39</v>
      </c>
      <c r="D26" s="2" t="s">
        <v>64</v>
      </c>
      <c r="E26" s="2" t="s">
        <v>194</v>
      </c>
      <c r="F26" s="2" t="s">
        <v>111</v>
      </c>
      <c r="G26" s="2" t="s">
        <v>84</v>
      </c>
      <c r="H26" s="2" t="s">
        <v>26</v>
      </c>
      <c r="I26" s="2" t="s">
        <v>27</v>
      </c>
      <c r="J26" s="2" t="s">
        <v>44</v>
      </c>
      <c r="K26" s="2">
        <v>5</v>
      </c>
      <c r="L26" s="2" t="s">
        <v>195</v>
      </c>
      <c r="M26" s="2" t="s">
        <v>196</v>
      </c>
      <c r="N26" s="2" t="s">
        <v>197</v>
      </c>
      <c r="O26" s="2" t="s">
        <v>198</v>
      </c>
      <c r="P26" s="2" t="s">
        <v>199</v>
      </c>
      <c r="Q26" s="2" t="s">
        <v>200</v>
      </c>
      <c r="R26" s="2" t="s">
        <v>201</v>
      </c>
      <c r="S26" s="2" t="s">
        <v>27</v>
      </c>
      <c r="T26" s="9" t="s">
        <v>30</v>
      </c>
      <c r="U26" s="9" t="s">
        <v>44</v>
      </c>
      <c r="V26" s="10">
        <v>19</v>
      </c>
    </row>
    <row r="27" spans="1:22" ht="42.75" x14ac:dyDescent="0.45">
      <c r="A27" s="2" t="s">
        <v>202</v>
      </c>
      <c r="B27" s="2" t="s">
        <v>42</v>
      </c>
      <c r="C27" s="2" t="s">
        <v>43</v>
      </c>
      <c r="D27" s="2" t="s">
        <v>64</v>
      </c>
      <c r="E27" s="2" t="s">
        <v>203</v>
      </c>
      <c r="F27" s="2" t="s">
        <v>204</v>
      </c>
      <c r="G27" s="2" t="s">
        <v>25</v>
      </c>
      <c r="H27" s="2" t="s">
        <v>26</v>
      </c>
      <c r="I27" s="2" t="s">
        <v>27</v>
      </c>
      <c r="J27" s="2" t="s">
        <v>44</v>
      </c>
      <c r="K27" s="2">
        <v>13</v>
      </c>
      <c r="L27" s="2" t="s">
        <v>205</v>
      </c>
      <c r="M27" s="2" t="s">
        <v>206</v>
      </c>
      <c r="N27" s="2" t="s">
        <v>207</v>
      </c>
      <c r="O27" s="2" t="s">
        <v>208</v>
      </c>
      <c r="P27" s="2" t="s">
        <v>209</v>
      </c>
      <c r="Q27" s="2" t="s">
        <v>210</v>
      </c>
      <c r="R27" s="2" t="s">
        <v>211</v>
      </c>
      <c r="S27" s="2" t="s">
        <v>27</v>
      </c>
      <c r="T27" s="9" t="s">
        <v>30</v>
      </c>
      <c r="U27" s="9" t="s">
        <v>44</v>
      </c>
      <c r="V27" s="10">
        <v>20</v>
      </c>
    </row>
    <row r="28" spans="1:22" ht="28.5" x14ac:dyDescent="0.45">
      <c r="A28" s="2" t="s">
        <v>212</v>
      </c>
      <c r="B28" s="2" t="s">
        <v>42</v>
      </c>
      <c r="C28" s="2" t="s">
        <v>43</v>
      </c>
      <c r="D28" s="2" t="s">
        <v>64</v>
      </c>
      <c r="E28" s="2" t="s">
        <v>213</v>
      </c>
      <c r="F28" s="2" t="s">
        <v>214</v>
      </c>
      <c r="G28" s="2" t="s">
        <v>25</v>
      </c>
      <c r="H28" s="2" t="s">
        <v>26</v>
      </c>
      <c r="I28" s="2" t="s">
        <v>27</v>
      </c>
      <c r="J28" s="2" t="s">
        <v>44</v>
      </c>
      <c r="K28" s="2">
        <v>8</v>
      </c>
      <c r="L28" s="2" t="s">
        <v>215</v>
      </c>
      <c r="M28" s="2" t="s">
        <v>216</v>
      </c>
      <c r="N28" s="2" t="s">
        <v>217</v>
      </c>
      <c r="O28" s="2" t="s">
        <v>218</v>
      </c>
      <c r="P28" s="2" t="s">
        <v>219</v>
      </c>
      <c r="Q28" s="2" t="s">
        <v>220</v>
      </c>
      <c r="R28" s="2" t="s">
        <v>221</v>
      </c>
      <c r="S28" s="2" t="s">
        <v>27</v>
      </c>
      <c r="T28" s="9" t="s">
        <v>30</v>
      </c>
      <c r="U28" s="9" t="s">
        <v>44</v>
      </c>
      <c r="V28" s="10">
        <v>21</v>
      </c>
    </row>
    <row r="29" spans="1:22" ht="42.75" x14ac:dyDescent="0.45">
      <c r="A29" s="2" t="s">
        <v>222</v>
      </c>
      <c r="B29" s="2" t="s">
        <v>42</v>
      </c>
      <c r="C29" s="2" t="s">
        <v>43</v>
      </c>
      <c r="D29" s="2" t="s">
        <v>64</v>
      </c>
      <c r="E29" s="2" t="s">
        <v>223</v>
      </c>
      <c r="F29" s="2" t="s">
        <v>74</v>
      </c>
      <c r="G29" s="2" t="s">
        <v>25</v>
      </c>
      <c r="H29" s="2" t="s">
        <v>26</v>
      </c>
      <c r="I29" s="2" t="s">
        <v>27</v>
      </c>
      <c r="J29" s="2" t="s">
        <v>44</v>
      </c>
      <c r="K29" s="2">
        <v>5</v>
      </c>
      <c r="L29" s="2" t="s">
        <v>224</v>
      </c>
      <c r="M29" s="2" t="s">
        <v>225</v>
      </c>
      <c r="N29" s="2" t="s">
        <v>226</v>
      </c>
      <c r="O29" s="2" t="s">
        <v>227</v>
      </c>
      <c r="P29" s="2" t="s">
        <v>228</v>
      </c>
      <c r="Q29" s="2" t="s">
        <v>229</v>
      </c>
      <c r="R29" s="2" t="s">
        <v>230</v>
      </c>
      <c r="S29" s="2" t="s">
        <v>27</v>
      </c>
      <c r="T29" s="9" t="s">
        <v>30</v>
      </c>
      <c r="U29" s="9" t="s">
        <v>44</v>
      </c>
      <c r="V29" s="10">
        <v>22</v>
      </c>
    </row>
    <row r="30" spans="1:22" ht="42.75" x14ac:dyDescent="0.45">
      <c r="A30" s="2" t="s">
        <v>231</v>
      </c>
      <c r="B30" s="2" t="s">
        <v>42</v>
      </c>
      <c r="C30" s="2" t="s">
        <v>43</v>
      </c>
      <c r="D30" s="2" t="s">
        <v>64</v>
      </c>
      <c r="E30" s="2" t="s">
        <v>232</v>
      </c>
      <c r="F30" s="2" t="s">
        <v>204</v>
      </c>
      <c r="G30" s="2" t="s">
        <v>25</v>
      </c>
      <c r="H30" s="2" t="s">
        <v>26</v>
      </c>
      <c r="I30" s="2" t="s">
        <v>27</v>
      </c>
      <c r="J30" s="2" t="s">
        <v>44</v>
      </c>
      <c r="K30" s="2">
        <v>3</v>
      </c>
      <c r="L30" s="2" t="s">
        <v>233</v>
      </c>
      <c r="M30" s="2" t="s">
        <v>234</v>
      </c>
      <c r="N30" s="2" t="s">
        <v>235</v>
      </c>
      <c r="O30" s="2" t="s">
        <v>236</v>
      </c>
      <c r="P30" s="2" t="s">
        <v>237</v>
      </c>
      <c r="Q30" s="2" t="s">
        <v>238</v>
      </c>
      <c r="R30" s="2" t="s">
        <v>239</v>
      </c>
      <c r="S30" s="2" t="s">
        <v>27</v>
      </c>
      <c r="T30" s="9" t="s">
        <v>30</v>
      </c>
      <c r="U30" s="9" t="s">
        <v>44</v>
      </c>
      <c r="V30" s="10">
        <v>23</v>
      </c>
    </row>
    <row r="31" spans="1:22" ht="42.75" x14ac:dyDescent="0.45">
      <c r="A31" s="2" t="s">
        <v>240</v>
      </c>
      <c r="B31" s="2" t="s">
        <v>46</v>
      </c>
      <c r="C31" s="2" t="s">
        <v>47</v>
      </c>
      <c r="D31" s="2" t="s">
        <v>64</v>
      </c>
      <c r="E31" s="2" t="s">
        <v>241</v>
      </c>
      <c r="F31" s="2" t="s">
        <v>177</v>
      </c>
      <c r="G31" s="2" t="s">
        <v>25</v>
      </c>
      <c r="H31" s="2" t="s">
        <v>26</v>
      </c>
      <c r="I31" s="2" t="s">
        <v>27</v>
      </c>
      <c r="J31" s="2" t="s">
        <v>48</v>
      </c>
      <c r="K31" s="2">
        <v>13</v>
      </c>
      <c r="L31" s="2" t="s">
        <v>242</v>
      </c>
      <c r="M31" s="2" t="s">
        <v>243</v>
      </c>
      <c r="N31" s="2" t="s">
        <v>244</v>
      </c>
      <c r="O31" s="2" t="s">
        <v>245</v>
      </c>
      <c r="P31" s="2" t="s">
        <v>246</v>
      </c>
      <c r="Q31" s="2" t="s">
        <v>247</v>
      </c>
      <c r="R31" s="2" t="s">
        <v>248</v>
      </c>
      <c r="S31" s="2" t="s">
        <v>27</v>
      </c>
      <c r="T31" s="9" t="s">
        <v>30</v>
      </c>
      <c r="U31" s="9" t="s">
        <v>48</v>
      </c>
      <c r="V31" s="10">
        <v>24</v>
      </c>
    </row>
    <row r="32" spans="1:22" ht="28.5" x14ac:dyDescent="0.45">
      <c r="A32" s="2" t="s">
        <v>249</v>
      </c>
      <c r="B32" s="2" t="s">
        <v>46</v>
      </c>
      <c r="C32" s="2" t="s">
        <v>47</v>
      </c>
      <c r="D32" s="2" t="s">
        <v>64</v>
      </c>
      <c r="E32" s="2" t="s">
        <v>250</v>
      </c>
      <c r="F32" s="2" t="s">
        <v>177</v>
      </c>
      <c r="G32" s="2" t="s">
        <v>25</v>
      </c>
      <c r="H32" s="2" t="s">
        <v>26</v>
      </c>
      <c r="I32" s="2" t="s">
        <v>27</v>
      </c>
      <c r="J32" s="2" t="s">
        <v>48</v>
      </c>
      <c r="K32" s="2">
        <v>5</v>
      </c>
      <c r="L32" s="2" t="s">
        <v>251</v>
      </c>
      <c r="M32" s="2" t="s">
        <v>252</v>
      </c>
      <c r="N32" s="2" t="s">
        <v>253</v>
      </c>
      <c r="O32" s="2" t="s">
        <v>254</v>
      </c>
      <c r="P32" s="2" t="s">
        <v>255</v>
      </c>
      <c r="Q32" s="2" t="s">
        <v>256</v>
      </c>
      <c r="R32" s="2" t="s">
        <v>257</v>
      </c>
      <c r="S32" s="2" t="s">
        <v>27</v>
      </c>
      <c r="T32" s="9" t="s">
        <v>30</v>
      </c>
      <c r="U32" s="9" t="s">
        <v>48</v>
      </c>
      <c r="V32" s="10">
        <v>25</v>
      </c>
    </row>
    <row r="33" spans="1:22" ht="42.75" x14ac:dyDescent="0.45">
      <c r="A33" s="2" t="s">
        <v>258</v>
      </c>
      <c r="B33" s="2" t="s">
        <v>46</v>
      </c>
      <c r="C33" s="2" t="s">
        <v>47</v>
      </c>
      <c r="D33" s="2" t="s">
        <v>64</v>
      </c>
      <c r="E33" s="2" t="s">
        <v>259</v>
      </c>
      <c r="F33" s="2" t="s">
        <v>141</v>
      </c>
      <c r="G33" s="2" t="s">
        <v>25</v>
      </c>
      <c r="H33" s="2" t="s">
        <v>26</v>
      </c>
      <c r="I33" s="2" t="s">
        <v>27</v>
      </c>
      <c r="J33" s="2" t="s">
        <v>48</v>
      </c>
      <c r="K33" s="2">
        <v>5</v>
      </c>
      <c r="L33" s="2" t="s">
        <v>260</v>
      </c>
      <c r="M33" s="2" t="s">
        <v>261</v>
      </c>
      <c r="N33" s="2" t="s">
        <v>262</v>
      </c>
      <c r="O33" s="2" t="s">
        <v>263</v>
      </c>
      <c r="P33" s="2" t="s">
        <v>264</v>
      </c>
      <c r="Q33" s="2" t="s">
        <v>265</v>
      </c>
      <c r="R33" s="2" t="s">
        <v>266</v>
      </c>
      <c r="S33" s="2" t="s">
        <v>27</v>
      </c>
      <c r="T33" s="9" t="s">
        <v>30</v>
      </c>
      <c r="U33" s="9" t="s">
        <v>48</v>
      </c>
      <c r="V33" s="10">
        <v>26</v>
      </c>
    </row>
    <row r="34" spans="1:22" ht="28.5" x14ac:dyDescent="0.45">
      <c r="A34" s="2" t="s">
        <v>267</v>
      </c>
      <c r="B34" s="2" t="s">
        <v>50</v>
      </c>
      <c r="C34" s="2" t="s">
        <v>51</v>
      </c>
      <c r="D34" s="2" t="s">
        <v>64</v>
      </c>
      <c r="E34" s="2" t="s">
        <v>268</v>
      </c>
      <c r="F34" s="2" t="s">
        <v>131</v>
      </c>
      <c r="G34" s="2" t="s">
        <v>84</v>
      </c>
      <c r="H34" s="2" t="s">
        <v>26</v>
      </c>
      <c r="I34" s="2" t="s">
        <v>27</v>
      </c>
      <c r="J34" s="2" t="s">
        <v>52</v>
      </c>
      <c r="K34" s="2">
        <v>5</v>
      </c>
      <c r="L34" s="2" t="s">
        <v>151</v>
      </c>
      <c r="M34" s="2" t="s">
        <v>269</v>
      </c>
      <c r="N34" s="2" t="s">
        <v>270</v>
      </c>
      <c r="O34" s="2" t="s">
        <v>271</v>
      </c>
      <c r="P34" s="2" t="s">
        <v>272</v>
      </c>
      <c r="Q34" s="2" t="s">
        <v>273</v>
      </c>
      <c r="R34" s="2" t="s">
        <v>274</v>
      </c>
      <c r="S34" s="2" t="s">
        <v>27</v>
      </c>
      <c r="T34" s="9" t="s">
        <v>30</v>
      </c>
      <c r="U34" s="9" t="s">
        <v>52</v>
      </c>
      <c r="V34" s="10">
        <v>28</v>
      </c>
    </row>
    <row r="35" spans="1:22" ht="42.75" x14ac:dyDescent="0.45">
      <c r="A35" s="2" t="s">
        <v>275</v>
      </c>
      <c r="B35" s="2" t="s">
        <v>50</v>
      </c>
      <c r="C35" s="2" t="s">
        <v>51</v>
      </c>
      <c r="D35" s="2" t="s">
        <v>64</v>
      </c>
      <c r="E35" s="2" t="s">
        <v>276</v>
      </c>
      <c r="F35" s="2" t="s">
        <v>177</v>
      </c>
      <c r="G35" s="2" t="s">
        <v>84</v>
      </c>
      <c r="H35" s="2" t="s">
        <v>26</v>
      </c>
      <c r="I35" s="2" t="s">
        <v>27</v>
      </c>
      <c r="J35" s="2" t="s">
        <v>52</v>
      </c>
      <c r="K35" s="2">
        <v>13</v>
      </c>
      <c r="L35" s="2" t="s">
        <v>277</v>
      </c>
      <c r="M35" s="2" t="s">
        <v>278</v>
      </c>
      <c r="N35" s="2" t="s">
        <v>279</v>
      </c>
      <c r="O35" s="2" t="s">
        <v>280</v>
      </c>
      <c r="P35" s="2" t="s">
        <v>281</v>
      </c>
      <c r="Q35" s="2" t="s">
        <v>282</v>
      </c>
      <c r="R35" s="2" t="s">
        <v>283</v>
      </c>
      <c r="S35" s="2" t="s">
        <v>27</v>
      </c>
      <c r="T35" s="9" t="s">
        <v>30</v>
      </c>
      <c r="U35" s="9" t="s">
        <v>52</v>
      </c>
      <c r="V35" s="10">
        <v>29</v>
      </c>
    </row>
    <row r="36" spans="1:22" ht="28.5" x14ac:dyDescent="0.45">
      <c r="A36" s="2" t="s">
        <v>284</v>
      </c>
      <c r="B36" s="2" t="s">
        <v>50</v>
      </c>
      <c r="C36" s="2" t="s">
        <v>51</v>
      </c>
      <c r="D36" s="2" t="s">
        <v>64</v>
      </c>
      <c r="E36" s="2" t="s">
        <v>285</v>
      </c>
      <c r="F36" s="2" t="s">
        <v>131</v>
      </c>
      <c r="G36" s="2" t="s">
        <v>84</v>
      </c>
      <c r="H36" s="2" t="s">
        <v>26</v>
      </c>
      <c r="I36" s="2" t="s">
        <v>27</v>
      </c>
      <c r="J36" s="2" t="s">
        <v>52</v>
      </c>
      <c r="K36" s="2">
        <v>8</v>
      </c>
      <c r="L36" s="2" t="s">
        <v>286</v>
      </c>
      <c r="M36" s="2" t="s">
        <v>287</v>
      </c>
      <c r="N36" s="2" t="s">
        <v>288</v>
      </c>
      <c r="O36" s="2" t="s">
        <v>289</v>
      </c>
      <c r="P36" s="2" t="s">
        <v>290</v>
      </c>
      <c r="Q36" s="2" t="s">
        <v>291</v>
      </c>
      <c r="R36" s="2" t="s">
        <v>292</v>
      </c>
      <c r="S36" s="2" t="s">
        <v>27</v>
      </c>
      <c r="T36" s="9" t="s">
        <v>30</v>
      </c>
      <c r="U36" s="9" t="s">
        <v>52</v>
      </c>
      <c r="V36" s="10">
        <v>30</v>
      </c>
    </row>
    <row r="37" spans="1:22" ht="28.5" x14ac:dyDescent="0.45">
      <c r="A37" s="2" t="s">
        <v>293</v>
      </c>
      <c r="B37" s="2" t="s">
        <v>54</v>
      </c>
      <c r="C37" s="2" t="s">
        <v>55</v>
      </c>
      <c r="D37" s="2" t="s">
        <v>64</v>
      </c>
      <c r="E37" s="2" t="s">
        <v>294</v>
      </c>
      <c r="F37" s="2" t="s">
        <v>204</v>
      </c>
      <c r="G37" s="2" t="s">
        <v>84</v>
      </c>
      <c r="H37" s="2" t="s">
        <v>26</v>
      </c>
      <c r="I37" s="2" t="s">
        <v>27</v>
      </c>
      <c r="J37" s="2" t="s">
        <v>52</v>
      </c>
      <c r="K37" s="2">
        <v>8</v>
      </c>
      <c r="L37" s="2" t="s">
        <v>295</v>
      </c>
      <c r="M37" s="2" t="s">
        <v>296</v>
      </c>
      <c r="N37" s="2" t="s">
        <v>297</v>
      </c>
      <c r="O37" s="2" t="s">
        <v>298</v>
      </c>
      <c r="P37" s="2" t="s">
        <v>299</v>
      </c>
      <c r="Q37" s="2" t="s">
        <v>300</v>
      </c>
      <c r="R37" s="2" t="s">
        <v>301</v>
      </c>
      <c r="S37" s="2" t="s">
        <v>27</v>
      </c>
      <c r="T37" s="9" t="s">
        <v>30</v>
      </c>
      <c r="U37" s="9" t="s">
        <v>52</v>
      </c>
      <c r="V37" s="10">
        <v>31</v>
      </c>
    </row>
    <row r="38" spans="1:22" ht="28.5" x14ac:dyDescent="0.45">
      <c r="A38" s="2" t="s">
        <v>302</v>
      </c>
      <c r="B38" s="2" t="s">
        <v>54</v>
      </c>
      <c r="C38" s="2" t="s">
        <v>55</v>
      </c>
      <c r="D38" s="2" t="s">
        <v>64</v>
      </c>
      <c r="E38" s="2" t="s">
        <v>303</v>
      </c>
      <c r="F38" s="2" t="s">
        <v>74</v>
      </c>
      <c r="G38" s="2" t="s">
        <v>84</v>
      </c>
      <c r="H38" s="2" t="s">
        <v>26</v>
      </c>
      <c r="I38" s="2" t="s">
        <v>27</v>
      </c>
      <c r="J38" s="2" t="s">
        <v>52</v>
      </c>
      <c r="K38" s="2">
        <v>8</v>
      </c>
      <c r="L38" s="2" t="s">
        <v>304</v>
      </c>
      <c r="M38" s="2" t="s">
        <v>305</v>
      </c>
      <c r="N38" s="2" t="s">
        <v>306</v>
      </c>
      <c r="O38" s="2" t="s">
        <v>307</v>
      </c>
      <c r="P38" s="2" t="s">
        <v>308</v>
      </c>
      <c r="Q38" s="2" t="s">
        <v>309</v>
      </c>
      <c r="R38" s="2" t="s">
        <v>310</v>
      </c>
      <c r="S38" s="2" t="s">
        <v>27</v>
      </c>
      <c r="T38" s="9" t="s">
        <v>30</v>
      </c>
      <c r="U38" s="9" t="s">
        <v>52</v>
      </c>
      <c r="V38" s="10">
        <v>32</v>
      </c>
    </row>
    <row r="39" spans="1:22" ht="28.5" x14ac:dyDescent="0.45">
      <c r="A39" s="2" t="s">
        <v>311</v>
      </c>
      <c r="B39" s="2" t="s">
        <v>54</v>
      </c>
      <c r="C39" s="2" t="s">
        <v>55</v>
      </c>
      <c r="D39" s="2" t="s">
        <v>64</v>
      </c>
      <c r="E39" s="2" t="s">
        <v>312</v>
      </c>
      <c r="F39" s="2" t="s">
        <v>102</v>
      </c>
      <c r="G39" s="2" t="s">
        <v>84</v>
      </c>
      <c r="H39" s="2" t="s">
        <v>26</v>
      </c>
      <c r="I39" s="2" t="s">
        <v>27</v>
      </c>
      <c r="J39" s="2" t="s">
        <v>52</v>
      </c>
      <c r="K39" s="2">
        <v>8</v>
      </c>
      <c r="L39" s="2" t="s">
        <v>313</v>
      </c>
      <c r="M39" s="2" t="s">
        <v>314</v>
      </c>
      <c r="N39" s="2" t="s">
        <v>315</v>
      </c>
      <c r="O39" s="2" t="s">
        <v>316</v>
      </c>
      <c r="P39" s="2" t="s">
        <v>317</v>
      </c>
      <c r="Q39" s="2" t="s">
        <v>318</v>
      </c>
      <c r="R39" s="2" t="s">
        <v>319</v>
      </c>
      <c r="S39" s="2" t="s">
        <v>27</v>
      </c>
      <c r="T39" s="9" t="s">
        <v>30</v>
      </c>
      <c r="U39" s="9" t="s">
        <v>52</v>
      </c>
      <c r="V39" s="10">
        <v>33</v>
      </c>
    </row>
    <row r="40" spans="1:22" ht="28.5" x14ac:dyDescent="0.45">
      <c r="A40" s="2" t="s">
        <v>320</v>
      </c>
      <c r="B40" s="2" t="s">
        <v>57</v>
      </c>
      <c r="C40" s="2" t="s">
        <v>58</v>
      </c>
      <c r="D40" s="2" t="s">
        <v>64</v>
      </c>
      <c r="E40" s="2" t="s">
        <v>321</v>
      </c>
      <c r="F40" s="2" t="s">
        <v>102</v>
      </c>
      <c r="G40" s="2" t="s">
        <v>25</v>
      </c>
      <c r="H40" s="2" t="s">
        <v>26</v>
      </c>
      <c r="I40" s="2" t="s">
        <v>27</v>
      </c>
      <c r="J40" s="2" t="s">
        <v>48</v>
      </c>
      <c r="K40" s="2">
        <v>5</v>
      </c>
      <c r="L40" s="2" t="s">
        <v>322</v>
      </c>
      <c r="M40" s="2" t="s">
        <v>323</v>
      </c>
      <c r="N40" s="2" t="s">
        <v>324</v>
      </c>
      <c r="O40" s="2" t="s">
        <v>325</v>
      </c>
      <c r="P40" s="2" t="s">
        <v>326</v>
      </c>
      <c r="Q40" s="2" t="s">
        <v>327</v>
      </c>
      <c r="R40" s="2" t="s">
        <v>328</v>
      </c>
      <c r="S40" s="2" t="s">
        <v>27</v>
      </c>
      <c r="T40" s="9" t="s">
        <v>30</v>
      </c>
      <c r="U40" s="9" t="s">
        <v>48</v>
      </c>
      <c r="V40" s="10">
        <v>27</v>
      </c>
    </row>
    <row r="41" spans="1:22" ht="28.5" x14ac:dyDescent="0.45">
      <c r="A41" s="2" t="s">
        <v>329</v>
      </c>
      <c r="B41" s="2" t="s">
        <v>57</v>
      </c>
      <c r="C41" s="2" t="s">
        <v>58</v>
      </c>
      <c r="D41" s="2" t="s">
        <v>64</v>
      </c>
      <c r="E41" s="2" t="s">
        <v>330</v>
      </c>
      <c r="F41" s="2" t="s">
        <v>102</v>
      </c>
      <c r="G41" s="2" t="s">
        <v>84</v>
      </c>
      <c r="H41" s="2" t="s">
        <v>26</v>
      </c>
      <c r="I41" s="2" t="s">
        <v>27</v>
      </c>
      <c r="J41" s="2" t="s">
        <v>52</v>
      </c>
      <c r="K41" s="2">
        <v>5</v>
      </c>
      <c r="L41" s="2" t="s">
        <v>275</v>
      </c>
      <c r="M41" s="2" t="s">
        <v>331</v>
      </c>
      <c r="N41" s="2" t="s">
        <v>332</v>
      </c>
      <c r="O41" s="2" t="s">
        <v>333</v>
      </c>
      <c r="P41" s="2" t="s">
        <v>334</v>
      </c>
      <c r="Q41" s="2" t="s">
        <v>335</v>
      </c>
      <c r="R41" s="2" t="s">
        <v>336</v>
      </c>
      <c r="S41" s="2" t="s">
        <v>27</v>
      </c>
      <c r="T41" s="9" t="s">
        <v>30</v>
      </c>
      <c r="U41" s="9" t="s">
        <v>52</v>
      </c>
      <c r="V41" s="10">
        <v>34</v>
      </c>
    </row>
    <row r="42" spans="1:22" ht="28.5" x14ac:dyDescent="0.45">
      <c r="A42" s="2" t="s">
        <v>337</v>
      </c>
      <c r="B42" s="2" t="s">
        <v>57</v>
      </c>
      <c r="C42" s="2" t="s">
        <v>58</v>
      </c>
      <c r="D42" s="2" t="s">
        <v>64</v>
      </c>
      <c r="E42" s="2" t="s">
        <v>338</v>
      </c>
      <c r="F42" s="2" t="s">
        <v>102</v>
      </c>
      <c r="G42" s="2" t="s">
        <v>84</v>
      </c>
      <c r="H42" s="2" t="s">
        <v>26</v>
      </c>
      <c r="I42" s="2" t="s">
        <v>27</v>
      </c>
      <c r="J42" s="2" t="s">
        <v>52</v>
      </c>
      <c r="K42" s="2">
        <v>5</v>
      </c>
      <c r="L42" s="2" t="s">
        <v>302</v>
      </c>
      <c r="M42" s="2" t="s">
        <v>339</v>
      </c>
      <c r="N42" s="2" t="s">
        <v>340</v>
      </c>
      <c r="O42" s="2" t="s">
        <v>341</v>
      </c>
      <c r="P42" s="2" t="s">
        <v>342</v>
      </c>
      <c r="Q42" s="2" t="s">
        <v>343</v>
      </c>
      <c r="R42" s="2" t="s">
        <v>344</v>
      </c>
      <c r="S42" s="2" t="s">
        <v>27</v>
      </c>
      <c r="T42" s="9" t="s">
        <v>30</v>
      </c>
      <c r="U42" s="9" t="s">
        <v>52</v>
      </c>
      <c r="V42" s="10">
        <v>35</v>
      </c>
    </row>
    <row r="43" spans="1:22" ht="28.5" x14ac:dyDescent="0.45">
      <c r="A43" s="2" t="s">
        <v>345</v>
      </c>
      <c r="B43" s="2" t="s">
        <v>57</v>
      </c>
      <c r="C43" s="2" t="s">
        <v>58</v>
      </c>
      <c r="D43" s="2" t="s">
        <v>64</v>
      </c>
      <c r="E43" s="2" t="s">
        <v>346</v>
      </c>
      <c r="F43" s="2" t="s">
        <v>131</v>
      </c>
      <c r="G43" s="2" t="s">
        <v>84</v>
      </c>
      <c r="H43" s="2" t="s">
        <v>26</v>
      </c>
      <c r="I43" s="2" t="s">
        <v>27</v>
      </c>
      <c r="J43" s="2" t="s">
        <v>52</v>
      </c>
      <c r="K43" s="2">
        <v>8</v>
      </c>
      <c r="L43" s="2" t="s">
        <v>347</v>
      </c>
      <c r="M43" s="2" t="s">
        <v>348</v>
      </c>
      <c r="N43" s="2" t="s">
        <v>349</v>
      </c>
      <c r="O43" s="2" t="s">
        <v>350</v>
      </c>
      <c r="P43" s="2" t="s">
        <v>351</v>
      </c>
      <c r="Q43" s="2" t="s">
        <v>352</v>
      </c>
      <c r="R43" s="2" t="s">
        <v>353</v>
      </c>
      <c r="S43" s="2" t="s">
        <v>27</v>
      </c>
      <c r="T43" s="9" t="s">
        <v>30</v>
      </c>
      <c r="U43" s="9" t="s">
        <v>52</v>
      </c>
      <c r="V43" s="10">
        <v>36</v>
      </c>
    </row>
    <row r="44" spans="1:22" ht="28.5" x14ac:dyDescent="0.45">
      <c r="A44" s="2" t="s">
        <v>354</v>
      </c>
      <c r="B44" s="2" t="s">
        <v>60</v>
      </c>
      <c r="C44" s="2" t="s">
        <v>61</v>
      </c>
      <c r="D44" s="2" t="s">
        <v>64</v>
      </c>
      <c r="E44" s="2" t="s">
        <v>355</v>
      </c>
      <c r="F44" s="2" t="s">
        <v>356</v>
      </c>
      <c r="G44" s="2" t="s">
        <v>25</v>
      </c>
      <c r="H44" s="2" t="s">
        <v>26</v>
      </c>
      <c r="I44" s="2" t="s">
        <v>27</v>
      </c>
      <c r="J44" s="2" t="s">
        <v>28</v>
      </c>
      <c r="K44" s="2">
        <v>8</v>
      </c>
      <c r="L44" s="2" t="s">
        <v>72</v>
      </c>
      <c r="M44" s="2" t="s">
        <v>357</v>
      </c>
      <c r="N44" s="2" t="s">
        <v>358</v>
      </c>
      <c r="O44" s="2" t="s">
        <v>359</v>
      </c>
      <c r="P44" s="2" t="s">
        <v>360</v>
      </c>
      <c r="Q44" s="2" t="s">
        <v>361</v>
      </c>
      <c r="R44" s="2" t="s">
        <v>362</v>
      </c>
      <c r="S44" s="2" t="s">
        <v>27</v>
      </c>
      <c r="T44" s="9" t="s">
        <v>30</v>
      </c>
      <c r="U44" s="9" t="s">
        <v>28</v>
      </c>
      <c r="V44" s="10">
        <v>4</v>
      </c>
    </row>
    <row r="45" spans="1:22" ht="28.5" x14ac:dyDescent="0.45">
      <c r="A45" s="2" t="s">
        <v>363</v>
      </c>
      <c r="B45" s="2" t="s">
        <v>60</v>
      </c>
      <c r="C45" s="2" t="s">
        <v>61</v>
      </c>
      <c r="D45" s="2" t="s">
        <v>64</v>
      </c>
      <c r="E45" s="2" t="s">
        <v>364</v>
      </c>
      <c r="F45" s="2" t="s">
        <v>111</v>
      </c>
      <c r="G45" s="2" t="s">
        <v>84</v>
      </c>
      <c r="H45" s="2" t="s">
        <v>26</v>
      </c>
      <c r="I45" s="2" t="s">
        <v>27</v>
      </c>
      <c r="J45" s="2" t="s">
        <v>40</v>
      </c>
      <c r="K45" s="2">
        <v>3</v>
      </c>
      <c r="L45" s="2" t="s">
        <v>149</v>
      </c>
      <c r="M45" s="2" t="s">
        <v>365</v>
      </c>
      <c r="N45" s="2" t="s">
        <v>366</v>
      </c>
      <c r="O45" s="2" t="s">
        <v>367</v>
      </c>
      <c r="P45" s="2" t="s">
        <v>368</v>
      </c>
      <c r="Q45" s="2" t="s">
        <v>369</v>
      </c>
      <c r="R45" s="2" t="s">
        <v>370</v>
      </c>
      <c r="S45" s="2" t="s">
        <v>27</v>
      </c>
      <c r="T45" s="9" t="s">
        <v>30</v>
      </c>
      <c r="U45" s="9" t="s">
        <v>40</v>
      </c>
      <c r="V45" s="10">
        <v>16</v>
      </c>
    </row>
    <row r="46" spans="1:22" ht="28.5" x14ac:dyDescent="0.45">
      <c r="A46" s="2" t="s">
        <v>371</v>
      </c>
      <c r="B46" s="2" t="s">
        <v>60</v>
      </c>
      <c r="C46" s="2" t="s">
        <v>61</v>
      </c>
      <c r="D46" s="2" t="s">
        <v>64</v>
      </c>
      <c r="E46" s="2" t="s">
        <v>372</v>
      </c>
      <c r="F46" s="2" t="s">
        <v>373</v>
      </c>
      <c r="G46" s="2" t="s">
        <v>25</v>
      </c>
      <c r="H46" s="2" t="s">
        <v>26</v>
      </c>
      <c r="I46" s="2" t="s">
        <v>27</v>
      </c>
      <c r="J46" s="2" t="s">
        <v>40</v>
      </c>
      <c r="K46" s="2">
        <v>3</v>
      </c>
      <c r="L46" s="2" t="s">
        <v>129</v>
      </c>
      <c r="M46" s="2" t="s">
        <v>374</v>
      </c>
      <c r="N46" s="2" t="s">
        <v>375</v>
      </c>
      <c r="O46" s="2" t="s">
        <v>376</v>
      </c>
      <c r="P46" s="2" t="s">
        <v>377</v>
      </c>
      <c r="Q46" s="2" t="s">
        <v>378</v>
      </c>
      <c r="R46" s="2" t="s">
        <v>379</v>
      </c>
      <c r="S46" s="2" t="s">
        <v>27</v>
      </c>
      <c r="T46" s="9" t="s">
        <v>30</v>
      </c>
      <c r="U46" s="9" t="s">
        <v>40</v>
      </c>
      <c r="V46" s="10">
        <v>17</v>
      </c>
    </row>
    <row r="47" spans="1:22" ht="42.75" x14ac:dyDescent="0.45">
      <c r="A47" s="2" t="s">
        <v>380</v>
      </c>
      <c r="B47" s="2" t="s">
        <v>60</v>
      </c>
      <c r="C47" s="2" t="s">
        <v>61</v>
      </c>
      <c r="D47" s="2" t="s">
        <v>64</v>
      </c>
      <c r="E47" s="2" t="s">
        <v>381</v>
      </c>
      <c r="F47" s="2" t="s">
        <v>382</v>
      </c>
      <c r="G47" s="2" t="s">
        <v>25</v>
      </c>
      <c r="H47" s="2" t="s">
        <v>26</v>
      </c>
      <c r="I47" s="2" t="s">
        <v>27</v>
      </c>
      <c r="J47" s="2" t="s">
        <v>28</v>
      </c>
      <c r="K47" s="2">
        <v>5</v>
      </c>
      <c r="L47" s="2" t="s">
        <v>383</v>
      </c>
      <c r="M47" s="2" t="s">
        <v>384</v>
      </c>
      <c r="N47" s="2" t="s">
        <v>385</v>
      </c>
      <c r="O47" s="2" t="s">
        <v>386</v>
      </c>
      <c r="P47" s="2" t="s">
        <v>387</v>
      </c>
      <c r="Q47" s="2" t="s">
        <v>388</v>
      </c>
      <c r="R47" s="2" t="s">
        <v>389</v>
      </c>
      <c r="S47" s="2" t="s">
        <v>27</v>
      </c>
      <c r="T47" s="9" t="s">
        <v>30</v>
      </c>
      <c r="U47" s="9" t="s">
        <v>28</v>
      </c>
      <c r="V47" s="10">
        <v>5</v>
      </c>
    </row>
    <row r="48" spans="1:22" ht="42.75" x14ac:dyDescent="0.45">
      <c r="A48" s="2" t="s">
        <v>390</v>
      </c>
      <c r="B48" s="2" t="s">
        <v>390</v>
      </c>
      <c r="C48" s="2" t="s">
        <v>391</v>
      </c>
      <c r="D48" s="2" t="s">
        <v>2</v>
      </c>
      <c r="E48" s="2" t="s">
        <v>391</v>
      </c>
      <c r="F48" s="2" t="s">
        <v>83</v>
      </c>
      <c r="G48" s="2" t="s">
        <v>84</v>
      </c>
      <c r="H48" s="2" t="s">
        <v>26</v>
      </c>
      <c r="I48" s="2"/>
      <c r="J48" s="2" t="s">
        <v>392</v>
      </c>
      <c r="K48" s="2"/>
      <c r="L48" s="2"/>
      <c r="M48" s="2" t="s">
        <v>393</v>
      </c>
      <c r="N48" s="2"/>
      <c r="O48" s="2"/>
      <c r="P48" s="2"/>
      <c r="Q48" s="2"/>
      <c r="R48" s="2"/>
      <c r="S48" s="2"/>
      <c r="T48" s="9" t="s">
        <v>394</v>
      </c>
      <c r="U48" s="9" t="s">
        <v>392</v>
      </c>
      <c r="V48" s="10"/>
    </row>
    <row r="49" spans="1:22" ht="42.75" x14ac:dyDescent="0.45">
      <c r="A49" s="2" t="s">
        <v>395</v>
      </c>
      <c r="B49" s="2" t="s">
        <v>395</v>
      </c>
      <c r="C49" s="2" t="s">
        <v>396</v>
      </c>
      <c r="D49" s="2" t="s">
        <v>2</v>
      </c>
      <c r="E49" s="2" t="s">
        <v>397</v>
      </c>
      <c r="F49" s="2" t="s">
        <v>83</v>
      </c>
      <c r="G49" s="2" t="s">
        <v>25</v>
      </c>
      <c r="H49" s="2" t="s">
        <v>26</v>
      </c>
      <c r="I49" s="2"/>
      <c r="J49" s="2" t="s">
        <v>398</v>
      </c>
      <c r="K49" s="2"/>
      <c r="L49" s="2"/>
      <c r="M49" s="2" t="s">
        <v>399</v>
      </c>
      <c r="N49" s="2"/>
      <c r="O49" s="2"/>
      <c r="P49" s="2"/>
      <c r="Q49" s="2"/>
      <c r="R49" s="2"/>
      <c r="S49" s="2"/>
      <c r="T49" s="9" t="s">
        <v>400</v>
      </c>
      <c r="U49" s="9" t="s">
        <v>398</v>
      </c>
      <c r="V49" s="10"/>
    </row>
    <row r="50" spans="1:22" ht="42.75" x14ac:dyDescent="0.45">
      <c r="A50" s="2" t="s">
        <v>401</v>
      </c>
      <c r="B50" s="2" t="s">
        <v>401</v>
      </c>
      <c r="C50" s="2" t="s">
        <v>402</v>
      </c>
      <c r="D50" s="2" t="s">
        <v>2</v>
      </c>
      <c r="E50" s="2" t="s">
        <v>403</v>
      </c>
      <c r="F50" s="2" t="s">
        <v>83</v>
      </c>
      <c r="G50" s="2" t="s">
        <v>84</v>
      </c>
      <c r="H50" s="2" t="s">
        <v>26</v>
      </c>
      <c r="I50" s="2"/>
      <c r="J50" s="2" t="s">
        <v>404</v>
      </c>
      <c r="K50" s="2"/>
      <c r="L50" s="2"/>
      <c r="M50" s="2" t="s">
        <v>405</v>
      </c>
      <c r="N50" s="2"/>
      <c r="O50" s="2"/>
      <c r="P50" s="2"/>
      <c r="Q50" s="2"/>
      <c r="R50" s="2"/>
      <c r="S50" s="2"/>
      <c r="T50" s="9" t="s">
        <v>406</v>
      </c>
      <c r="U50" s="9" t="s">
        <v>404</v>
      </c>
      <c r="V50" s="10"/>
    </row>
    <row r="51" spans="1:22" ht="42.75" x14ac:dyDescent="0.45">
      <c r="A51" s="2" t="s">
        <v>407</v>
      </c>
      <c r="B51" s="2" t="s">
        <v>407</v>
      </c>
      <c r="C51" s="2" t="s">
        <v>408</v>
      </c>
      <c r="D51" s="2" t="s">
        <v>2</v>
      </c>
      <c r="E51" s="2" t="s">
        <v>409</v>
      </c>
      <c r="F51" s="2" t="s">
        <v>83</v>
      </c>
      <c r="G51" s="2" t="s">
        <v>84</v>
      </c>
      <c r="H51" s="2" t="s">
        <v>26</v>
      </c>
      <c r="I51" s="2"/>
      <c r="J51" s="2" t="s">
        <v>410</v>
      </c>
      <c r="K51" s="2"/>
      <c r="L51" s="2"/>
      <c r="M51" s="2" t="s">
        <v>411</v>
      </c>
      <c r="N51" s="2"/>
      <c r="O51" s="2"/>
      <c r="P51" s="2"/>
      <c r="Q51" s="2"/>
      <c r="R51" s="2"/>
      <c r="S51" s="2"/>
      <c r="T51" s="9" t="s">
        <v>412</v>
      </c>
      <c r="U51" s="9" t="s">
        <v>410</v>
      </c>
      <c r="V51" s="10"/>
    </row>
    <row r="52" spans="1:22" ht="42.75" x14ac:dyDescent="0.45">
      <c r="A52" s="2" t="s">
        <v>413</v>
      </c>
      <c r="B52" s="2" t="s">
        <v>413</v>
      </c>
      <c r="C52" s="2" t="s">
        <v>414</v>
      </c>
      <c r="D52" s="2" t="s">
        <v>2</v>
      </c>
      <c r="E52" s="2" t="s">
        <v>415</v>
      </c>
      <c r="F52" s="2" t="s">
        <v>83</v>
      </c>
      <c r="G52" s="2" t="s">
        <v>84</v>
      </c>
      <c r="H52" s="2" t="s">
        <v>26</v>
      </c>
      <c r="I52" s="2"/>
      <c r="J52" s="2" t="s">
        <v>416</v>
      </c>
      <c r="K52" s="2"/>
      <c r="L52" s="2"/>
      <c r="M52" s="2" t="s">
        <v>417</v>
      </c>
      <c r="N52" s="2"/>
      <c r="O52" s="2"/>
      <c r="P52" s="2"/>
      <c r="Q52" s="2"/>
      <c r="R52" s="2"/>
      <c r="S52" s="2"/>
      <c r="T52" s="9" t="s">
        <v>418</v>
      </c>
      <c r="U52" s="9" t="s">
        <v>416</v>
      </c>
      <c r="V52" s="10"/>
    </row>
    <row r="53" spans="1:22" ht="57" x14ac:dyDescent="0.45">
      <c r="A53" s="2" t="s">
        <v>419</v>
      </c>
      <c r="B53" s="2" t="s">
        <v>419</v>
      </c>
      <c r="C53" s="2" t="s">
        <v>420</v>
      </c>
      <c r="D53" s="2" t="s">
        <v>2</v>
      </c>
      <c r="E53" s="2" t="s">
        <v>421</v>
      </c>
      <c r="F53" s="2" t="s">
        <v>83</v>
      </c>
      <c r="G53" s="2" t="s">
        <v>422</v>
      </c>
      <c r="H53" s="2" t="s">
        <v>26</v>
      </c>
      <c r="I53" s="2"/>
      <c r="J53" s="2" t="s">
        <v>416</v>
      </c>
      <c r="K53" s="2"/>
      <c r="L53" s="2"/>
      <c r="M53" s="2" t="s">
        <v>423</v>
      </c>
      <c r="N53" s="2"/>
      <c r="O53" s="2"/>
      <c r="P53" s="2"/>
      <c r="Q53" s="2"/>
      <c r="R53" s="2"/>
      <c r="S53" s="2"/>
      <c r="T53" s="9" t="s">
        <v>424</v>
      </c>
      <c r="U53" s="9" t="s">
        <v>416</v>
      </c>
      <c r="V53" s="10"/>
    </row>
    <row r="54" spans="1:22" ht="42.75" x14ac:dyDescent="0.45">
      <c r="A54" s="2" t="s">
        <v>425</v>
      </c>
      <c r="B54" s="2" t="s">
        <v>425</v>
      </c>
      <c r="C54" s="2" t="s">
        <v>426</v>
      </c>
      <c r="D54" s="2" t="s">
        <v>2</v>
      </c>
      <c r="E54" s="2" t="s">
        <v>427</v>
      </c>
      <c r="F54" s="2" t="s">
        <v>83</v>
      </c>
      <c r="G54" s="2" t="s">
        <v>25</v>
      </c>
      <c r="H54" s="2" t="s">
        <v>26</v>
      </c>
      <c r="I54" s="2"/>
      <c r="J54" s="2" t="s">
        <v>398</v>
      </c>
      <c r="K54" s="2"/>
      <c r="L54" s="2"/>
      <c r="M54" s="2" t="s">
        <v>428</v>
      </c>
      <c r="N54" s="2"/>
      <c r="O54" s="2"/>
      <c r="P54" s="2"/>
      <c r="Q54" s="2"/>
      <c r="R54" s="2"/>
      <c r="S54" s="2"/>
      <c r="T54" s="9" t="s">
        <v>400</v>
      </c>
      <c r="U54" s="9" t="s">
        <v>398</v>
      </c>
      <c r="V54" s="10"/>
    </row>
    <row r="55" spans="1:22" ht="42.75" x14ac:dyDescent="0.45">
      <c r="A55" s="2" t="s">
        <v>429</v>
      </c>
      <c r="B55" s="2" t="s">
        <v>429</v>
      </c>
      <c r="C55" s="2" t="s">
        <v>430</v>
      </c>
      <c r="D55" s="2" t="s">
        <v>2</v>
      </c>
      <c r="E55" s="2" t="s">
        <v>431</v>
      </c>
      <c r="F55" s="2" t="s">
        <v>83</v>
      </c>
      <c r="G55" s="2" t="s">
        <v>84</v>
      </c>
      <c r="H55" s="2" t="s">
        <v>26</v>
      </c>
      <c r="I55" s="2"/>
      <c r="J55" s="2" t="s">
        <v>398</v>
      </c>
      <c r="K55" s="2"/>
      <c r="L55" s="2"/>
      <c r="M55" s="2" t="s">
        <v>432</v>
      </c>
      <c r="N55" s="2"/>
      <c r="O55" s="2"/>
      <c r="P55" s="2"/>
      <c r="Q55" s="2"/>
      <c r="R55" s="2"/>
      <c r="S55" s="2"/>
      <c r="T55" s="9" t="s">
        <v>400</v>
      </c>
      <c r="U55" s="9" t="s">
        <v>398</v>
      </c>
      <c r="V55" s="10"/>
    </row>
    <row r="56" spans="1:22" ht="42.75" x14ac:dyDescent="0.45">
      <c r="A56" s="2" t="s">
        <v>433</v>
      </c>
      <c r="B56" s="2" t="s">
        <v>395</v>
      </c>
      <c r="C56" s="2" t="s">
        <v>396</v>
      </c>
      <c r="D56" s="2" t="s">
        <v>64</v>
      </c>
      <c r="E56" s="2" t="s">
        <v>434</v>
      </c>
      <c r="F56" s="2" t="s">
        <v>373</v>
      </c>
      <c r="G56" s="2" t="s">
        <v>25</v>
      </c>
      <c r="H56" s="2" t="s">
        <v>26</v>
      </c>
      <c r="I56" s="2"/>
      <c r="J56" s="2" t="s">
        <v>398</v>
      </c>
      <c r="K56" s="2">
        <v>8</v>
      </c>
      <c r="L56" s="2" t="s">
        <v>435</v>
      </c>
      <c r="M56" s="2" t="s">
        <v>436</v>
      </c>
      <c r="N56" s="2" t="s">
        <v>437</v>
      </c>
      <c r="O56" s="2" t="s">
        <v>438</v>
      </c>
      <c r="P56" s="2" t="s">
        <v>439</v>
      </c>
      <c r="Q56" s="2" t="s">
        <v>440</v>
      </c>
      <c r="R56" s="2" t="s">
        <v>441</v>
      </c>
      <c r="S56" s="2"/>
      <c r="T56" s="9" t="s">
        <v>400</v>
      </c>
      <c r="U56" s="9" t="s">
        <v>398</v>
      </c>
      <c r="V56" s="10">
        <v>37</v>
      </c>
    </row>
    <row r="57" spans="1:22" ht="42.75" x14ac:dyDescent="0.45">
      <c r="A57" s="2" t="s">
        <v>442</v>
      </c>
      <c r="B57" s="2" t="s">
        <v>395</v>
      </c>
      <c r="C57" s="2" t="s">
        <v>396</v>
      </c>
      <c r="D57" s="2" t="s">
        <v>64</v>
      </c>
      <c r="E57" s="2" t="s">
        <v>443</v>
      </c>
      <c r="F57" s="2" t="s">
        <v>373</v>
      </c>
      <c r="G57" s="2" t="s">
        <v>25</v>
      </c>
      <c r="H57" s="2" t="s">
        <v>26</v>
      </c>
      <c r="I57" s="2"/>
      <c r="J57" s="2" t="s">
        <v>398</v>
      </c>
      <c r="K57" s="2">
        <v>5</v>
      </c>
      <c r="L57" s="2" t="s">
        <v>433</v>
      </c>
      <c r="M57" s="2" t="s">
        <v>444</v>
      </c>
      <c r="N57" s="2" t="s">
        <v>445</v>
      </c>
      <c r="O57" s="2" t="s">
        <v>446</v>
      </c>
      <c r="P57" s="2" t="s">
        <v>447</v>
      </c>
      <c r="Q57" s="2" t="s">
        <v>448</v>
      </c>
      <c r="R57" s="2" t="s">
        <v>449</v>
      </c>
      <c r="S57" s="2"/>
      <c r="T57" s="9" t="s">
        <v>400</v>
      </c>
      <c r="U57" s="9" t="s">
        <v>398</v>
      </c>
      <c r="V57" s="10">
        <v>38</v>
      </c>
    </row>
    <row r="58" spans="1:22" ht="42.75" x14ac:dyDescent="0.45">
      <c r="A58" s="2" t="s">
        <v>450</v>
      </c>
      <c r="B58" s="2" t="s">
        <v>395</v>
      </c>
      <c r="C58" s="2" t="s">
        <v>396</v>
      </c>
      <c r="D58" s="2" t="s">
        <v>64</v>
      </c>
      <c r="E58" s="2" t="s">
        <v>451</v>
      </c>
      <c r="F58" s="2" t="s">
        <v>93</v>
      </c>
      <c r="G58" s="2" t="s">
        <v>84</v>
      </c>
      <c r="H58" s="2" t="s">
        <v>26</v>
      </c>
      <c r="I58" s="2"/>
      <c r="J58" s="2" t="s">
        <v>398</v>
      </c>
      <c r="K58" s="2">
        <v>3</v>
      </c>
      <c r="L58" s="2" t="s">
        <v>452</v>
      </c>
      <c r="M58" s="2" t="s">
        <v>453</v>
      </c>
      <c r="N58" s="2" t="s">
        <v>454</v>
      </c>
      <c r="O58" s="2" t="s">
        <v>455</v>
      </c>
      <c r="P58" s="2" t="s">
        <v>456</v>
      </c>
      <c r="Q58" s="2" t="s">
        <v>457</v>
      </c>
      <c r="R58" s="2" t="s">
        <v>458</v>
      </c>
      <c r="S58" s="2"/>
      <c r="T58" s="9" t="s">
        <v>400</v>
      </c>
      <c r="U58" s="9" t="s">
        <v>398</v>
      </c>
      <c r="V58" s="10">
        <v>39</v>
      </c>
    </row>
    <row r="59" spans="1:22" ht="42.75" x14ac:dyDescent="0.45">
      <c r="A59" s="2" t="s">
        <v>459</v>
      </c>
      <c r="B59" s="2" t="s">
        <v>425</v>
      </c>
      <c r="C59" s="2" t="s">
        <v>426</v>
      </c>
      <c r="D59" s="2" t="s">
        <v>64</v>
      </c>
      <c r="E59" s="2" t="s">
        <v>460</v>
      </c>
      <c r="F59" s="2" t="s">
        <v>93</v>
      </c>
      <c r="G59" s="2" t="s">
        <v>25</v>
      </c>
      <c r="H59" s="2" t="s">
        <v>26</v>
      </c>
      <c r="I59" s="2"/>
      <c r="J59" s="2" t="s">
        <v>398</v>
      </c>
      <c r="K59" s="2">
        <v>5</v>
      </c>
      <c r="L59" s="2" t="s">
        <v>461</v>
      </c>
      <c r="M59" s="2" t="s">
        <v>462</v>
      </c>
      <c r="N59" s="2" t="s">
        <v>463</v>
      </c>
      <c r="O59" s="2" t="s">
        <v>464</v>
      </c>
      <c r="P59" s="2" t="s">
        <v>465</v>
      </c>
      <c r="Q59" s="2" t="s">
        <v>466</v>
      </c>
      <c r="R59" s="2" t="s">
        <v>467</v>
      </c>
      <c r="S59" s="2"/>
      <c r="T59" s="9" t="s">
        <v>400</v>
      </c>
      <c r="U59" s="9" t="s">
        <v>398</v>
      </c>
      <c r="V59" s="10">
        <v>40</v>
      </c>
    </row>
    <row r="60" spans="1:22" ht="42.75" x14ac:dyDescent="0.45">
      <c r="A60" s="2" t="s">
        <v>468</v>
      </c>
      <c r="B60" s="2" t="s">
        <v>425</v>
      </c>
      <c r="C60" s="2" t="s">
        <v>426</v>
      </c>
      <c r="D60" s="2" t="s">
        <v>64</v>
      </c>
      <c r="E60" s="2" t="s">
        <v>469</v>
      </c>
      <c r="F60" s="2" t="s">
        <v>470</v>
      </c>
      <c r="G60" s="2" t="s">
        <v>25</v>
      </c>
      <c r="H60" s="2" t="s">
        <v>26</v>
      </c>
      <c r="I60" s="2"/>
      <c r="J60" s="2" t="s">
        <v>398</v>
      </c>
      <c r="K60" s="2">
        <v>5</v>
      </c>
      <c r="L60" s="2" t="s">
        <v>471</v>
      </c>
      <c r="M60" s="2" t="s">
        <v>472</v>
      </c>
      <c r="N60" s="2" t="s">
        <v>473</v>
      </c>
      <c r="O60" s="2" t="s">
        <v>474</v>
      </c>
      <c r="P60" s="2" t="s">
        <v>475</v>
      </c>
      <c r="Q60" s="2" t="s">
        <v>476</v>
      </c>
      <c r="R60" s="2" t="s">
        <v>477</v>
      </c>
      <c r="S60" s="2"/>
      <c r="T60" s="9" t="s">
        <v>400</v>
      </c>
      <c r="U60" s="9" t="s">
        <v>398</v>
      </c>
      <c r="V60" s="10">
        <v>41</v>
      </c>
    </row>
    <row r="61" spans="1:22" ht="42.75" x14ac:dyDescent="0.45">
      <c r="A61" s="2" t="s">
        <v>478</v>
      </c>
      <c r="B61" s="2" t="s">
        <v>429</v>
      </c>
      <c r="C61" s="2" t="s">
        <v>430</v>
      </c>
      <c r="D61" s="2" t="s">
        <v>64</v>
      </c>
      <c r="E61" s="2" t="s">
        <v>479</v>
      </c>
      <c r="F61" s="2" t="s">
        <v>74</v>
      </c>
      <c r="G61" s="2" t="s">
        <v>84</v>
      </c>
      <c r="H61" s="2" t="s">
        <v>26</v>
      </c>
      <c r="I61" s="2"/>
      <c r="J61" s="2" t="s">
        <v>398</v>
      </c>
      <c r="K61" s="2">
        <v>5</v>
      </c>
      <c r="L61" s="2" t="s">
        <v>480</v>
      </c>
      <c r="M61" s="2" t="s">
        <v>481</v>
      </c>
      <c r="N61" s="2" t="s">
        <v>482</v>
      </c>
      <c r="O61" s="2" t="s">
        <v>483</v>
      </c>
      <c r="P61" s="2" t="s">
        <v>484</v>
      </c>
      <c r="Q61" s="2" t="s">
        <v>485</v>
      </c>
      <c r="R61" s="2" t="s">
        <v>486</v>
      </c>
      <c r="S61" s="2"/>
      <c r="T61" s="9" t="s">
        <v>400</v>
      </c>
      <c r="U61" s="9" t="s">
        <v>398</v>
      </c>
      <c r="V61" s="10">
        <v>42</v>
      </c>
    </row>
    <row r="62" spans="1:22" ht="28.5" x14ac:dyDescent="0.45">
      <c r="A62" s="2" t="s">
        <v>487</v>
      </c>
      <c r="B62" s="2" t="s">
        <v>390</v>
      </c>
      <c r="C62" s="2" t="s">
        <v>391</v>
      </c>
      <c r="D62" s="2" t="s">
        <v>64</v>
      </c>
      <c r="E62" s="2" t="s">
        <v>488</v>
      </c>
      <c r="F62" s="2" t="s">
        <v>83</v>
      </c>
      <c r="G62" s="2" t="s">
        <v>84</v>
      </c>
      <c r="H62" s="2" t="s">
        <v>26</v>
      </c>
      <c r="I62" s="2"/>
      <c r="J62" s="2" t="s">
        <v>392</v>
      </c>
      <c r="K62" s="2">
        <v>5</v>
      </c>
      <c r="L62" s="2" t="s">
        <v>72</v>
      </c>
      <c r="M62" s="2" t="s">
        <v>489</v>
      </c>
      <c r="N62" s="2" t="s">
        <v>490</v>
      </c>
      <c r="O62" s="2" t="s">
        <v>491</v>
      </c>
      <c r="P62" s="2" t="s">
        <v>492</v>
      </c>
      <c r="Q62" s="2" t="s">
        <v>493</v>
      </c>
      <c r="R62" s="2" t="s">
        <v>494</v>
      </c>
      <c r="S62" s="2"/>
      <c r="T62" s="9" t="s">
        <v>394</v>
      </c>
      <c r="U62" s="9" t="s">
        <v>392</v>
      </c>
      <c r="V62" s="10">
        <v>43</v>
      </c>
    </row>
    <row r="63" spans="1:22" ht="28.5" x14ac:dyDescent="0.45">
      <c r="A63" s="2" t="s">
        <v>495</v>
      </c>
      <c r="B63" s="2" t="s">
        <v>390</v>
      </c>
      <c r="C63" s="2" t="s">
        <v>391</v>
      </c>
      <c r="D63" s="2" t="s">
        <v>64</v>
      </c>
      <c r="E63" s="2" t="s">
        <v>496</v>
      </c>
      <c r="F63" s="2" t="s">
        <v>373</v>
      </c>
      <c r="G63" s="2" t="s">
        <v>84</v>
      </c>
      <c r="H63" s="2" t="s">
        <v>26</v>
      </c>
      <c r="I63" s="2"/>
      <c r="J63" s="2" t="s">
        <v>392</v>
      </c>
      <c r="K63" s="2">
        <v>8</v>
      </c>
      <c r="L63" s="2" t="s">
        <v>487</v>
      </c>
      <c r="M63" s="2" t="s">
        <v>497</v>
      </c>
      <c r="N63" s="2" t="s">
        <v>498</v>
      </c>
      <c r="O63" s="2" t="s">
        <v>499</v>
      </c>
      <c r="P63" s="2" t="s">
        <v>500</v>
      </c>
      <c r="Q63" s="2" t="s">
        <v>501</v>
      </c>
      <c r="R63" s="2" t="s">
        <v>502</v>
      </c>
      <c r="S63" s="2"/>
      <c r="T63" s="9" t="s">
        <v>394</v>
      </c>
      <c r="U63" s="9" t="s">
        <v>392</v>
      </c>
      <c r="V63" s="10">
        <v>44</v>
      </c>
    </row>
    <row r="64" spans="1:22" ht="28.5" x14ac:dyDescent="0.45">
      <c r="A64" s="2" t="s">
        <v>503</v>
      </c>
      <c r="B64" s="2" t="s">
        <v>390</v>
      </c>
      <c r="C64" s="2" t="s">
        <v>391</v>
      </c>
      <c r="D64" s="2" t="s">
        <v>64</v>
      </c>
      <c r="E64" s="2" t="s">
        <v>504</v>
      </c>
      <c r="F64" s="2" t="s">
        <v>83</v>
      </c>
      <c r="G64" s="2" t="s">
        <v>84</v>
      </c>
      <c r="H64" s="2" t="s">
        <v>26</v>
      </c>
      <c r="I64" s="2"/>
      <c r="J64" s="2" t="s">
        <v>392</v>
      </c>
      <c r="K64" s="2">
        <v>5</v>
      </c>
      <c r="L64" s="2" t="s">
        <v>505</v>
      </c>
      <c r="M64" s="2" t="s">
        <v>506</v>
      </c>
      <c r="N64" s="2" t="s">
        <v>507</v>
      </c>
      <c r="O64" s="2" t="s">
        <v>508</v>
      </c>
      <c r="P64" s="2" t="s">
        <v>509</v>
      </c>
      <c r="Q64" s="2" t="s">
        <v>510</v>
      </c>
      <c r="R64" s="2" t="s">
        <v>511</v>
      </c>
      <c r="S64" s="2"/>
      <c r="T64" s="9" t="s">
        <v>394</v>
      </c>
      <c r="U64" s="9" t="s">
        <v>392</v>
      </c>
      <c r="V64" s="10">
        <v>45</v>
      </c>
    </row>
    <row r="65" spans="1:22" ht="28.5" x14ac:dyDescent="0.45">
      <c r="A65" s="2" t="s">
        <v>512</v>
      </c>
      <c r="B65" s="2" t="s">
        <v>390</v>
      </c>
      <c r="C65" s="2" t="s">
        <v>391</v>
      </c>
      <c r="D65" s="2" t="s">
        <v>64</v>
      </c>
      <c r="E65" s="2" t="s">
        <v>513</v>
      </c>
      <c r="F65" s="2" t="s">
        <v>373</v>
      </c>
      <c r="G65" s="2" t="s">
        <v>84</v>
      </c>
      <c r="H65" s="2" t="s">
        <v>26</v>
      </c>
      <c r="I65" s="2"/>
      <c r="J65" s="2" t="s">
        <v>514</v>
      </c>
      <c r="K65" s="2">
        <v>8</v>
      </c>
      <c r="L65" s="2" t="s">
        <v>515</v>
      </c>
      <c r="M65" s="2" t="s">
        <v>516</v>
      </c>
      <c r="N65" s="2" t="s">
        <v>517</v>
      </c>
      <c r="O65" s="2" t="s">
        <v>518</v>
      </c>
      <c r="P65" s="2" t="s">
        <v>519</v>
      </c>
      <c r="Q65" s="2" t="s">
        <v>520</v>
      </c>
      <c r="R65" s="2" t="s">
        <v>521</v>
      </c>
      <c r="S65" s="2"/>
      <c r="T65" s="9" t="s">
        <v>394</v>
      </c>
      <c r="U65" s="9" t="s">
        <v>514</v>
      </c>
      <c r="V65" s="10">
        <v>46</v>
      </c>
    </row>
    <row r="66" spans="1:22" ht="42.75" x14ac:dyDescent="0.45">
      <c r="A66" s="2" t="s">
        <v>522</v>
      </c>
      <c r="B66" s="2" t="s">
        <v>390</v>
      </c>
      <c r="C66" s="2" t="s">
        <v>391</v>
      </c>
      <c r="D66" s="2" t="s">
        <v>64</v>
      </c>
      <c r="E66" s="2" t="s">
        <v>523</v>
      </c>
      <c r="F66" s="2" t="s">
        <v>373</v>
      </c>
      <c r="G66" s="2" t="s">
        <v>422</v>
      </c>
      <c r="H66" s="2" t="s">
        <v>26</v>
      </c>
      <c r="I66" s="2"/>
      <c r="J66" s="2" t="s">
        <v>514</v>
      </c>
      <c r="K66" s="2">
        <v>8</v>
      </c>
      <c r="L66" s="2" t="s">
        <v>524</v>
      </c>
      <c r="M66" s="2" t="s">
        <v>525</v>
      </c>
      <c r="N66" s="2" t="s">
        <v>526</v>
      </c>
      <c r="O66" s="2" t="s">
        <v>527</v>
      </c>
      <c r="P66" s="2" t="s">
        <v>528</v>
      </c>
      <c r="Q66" s="2" t="s">
        <v>529</v>
      </c>
      <c r="R66" s="2" t="s">
        <v>530</v>
      </c>
      <c r="S66" s="2"/>
      <c r="T66" s="9" t="s">
        <v>531</v>
      </c>
      <c r="U66" s="9" t="s">
        <v>514</v>
      </c>
      <c r="V66" s="10">
        <v>47</v>
      </c>
    </row>
    <row r="67" spans="1:22" ht="42.75" x14ac:dyDescent="0.45">
      <c r="A67" s="2" t="s">
        <v>532</v>
      </c>
      <c r="B67" s="2" t="s">
        <v>395</v>
      </c>
      <c r="C67" s="2" t="s">
        <v>396</v>
      </c>
      <c r="D67" s="2" t="s">
        <v>64</v>
      </c>
      <c r="E67" s="2" t="s">
        <v>533</v>
      </c>
      <c r="F67" s="2" t="s">
        <v>382</v>
      </c>
      <c r="G67" s="2" t="s">
        <v>422</v>
      </c>
      <c r="H67" s="2" t="s">
        <v>26</v>
      </c>
      <c r="I67" s="2"/>
      <c r="J67" s="2" t="s">
        <v>534</v>
      </c>
      <c r="K67" s="2">
        <v>8</v>
      </c>
      <c r="L67" s="2" t="s">
        <v>535</v>
      </c>
      <c r="M67" s="2" t="s">
        <v>536</v>
      </c>
      <c r="N67" s="2" t="s">
        <v>537</v>
      </c>
      <c r="O67" s="2" t="s">
        <v>538</v>
      </c>
      <c r="P67" s="2" t="s">
        <v>539</v>
      </c>
      <c r="Q67" s="2" t="s">
        <v>540</v>
      </c>
      <c r="R67" s="2" t="s">
        <v>541</v>
      </c>
      <c r="S67" s="2"/>
      <c r="T67" s="9" t="s">
        <v>542</v>
      </c>
      <c r="U67" s="9" t="s">
        <v>534</v>
      </c>
      <c r="V67" s="10">
        <v>48</v>
      </c>
    </row>
    <row r="68" spans="1:22" ht="42.75" x14ac:dyDescent="0.45">
      <c r="A68" s="2" t="s">
        <v>543</v>
      </c>
      <c r="B68" s="2" t="s">
        <v>395</v>
      </c>
      <c r="C68" s="2" t="s">
        <v>396</v>
      </c>
      <c r="D68" s="2" t="s">
        <v>64</v>
      </c>
      <c r="E68" s="2" t="s">
        <v>544</v>
      </c>
      <c r="F68" s="2" t="s">
        <v>373</v>
      </c>
      <c r="G68" s="2" t="s">
        <v>422</v>
      </c>
      <c r="H68" s="2" t="s">
        <v>26</v>
      </c>
      <c r="I68" s="2"/>
      <c r="J68" s="2" t="s">
        <v>534</v>
      </c>
      <c r="K68" s="2">
        <v>5</v>
      </c>
      <c r="L68" s="2" t="s">
        <v>433</v>
      </c>
      <c r="M68" s="2" t="s">
        <v>545</v>
      </c>
      <c r="N68" s="2" t="s">
        <v>546</v>
      </c>
      <c r="O68" s="2" t="s">
        <v>547</v>
      </c>
      <c r="P68" s="2" t="s">
        <v>548</v>
      </c>
      <c r="Q68" s="2" t="s">
        <v>549</v>
      </c>
      <c r="R68" s="2" t="s">
        <v>550</v>
      </c>
      <c r="S68" s="2"/>
      <c r="T68" s="9" t="s">
        <v>542</v>
      </c>
      <c r="U68" s="9" t="s">
        <v>534</v>
      </c>
      <c r="V68" s="10">
        <v>49</v>
      </c>
    </row>
    <row r="69" spans="1:22" ht="28.5" x14ac:dyDescent="0.45">
      <c r="A69" s="2" t="s">
        <v>551</v>
      </c>
      <c r="B69" s="2" t="s">
        <v>401</v>
      </c>
      <c r="C69" s="2" t="s">
        <v>402</v>
      </c>
      <c r="D69" s="2" t="s">
        <v>64</v>
      </c>
      <c r="E69" s="2" t="s">
        <v>552</v>
      </c>
      <c r="F69" s="2" t="s">
        <v>373</v>
      </c>
      <c r="G69" s="2" t="s">
        <v>84</v>
      </c>
      <c r="H69" s="2" t="s">
        <v>26</v>
      </c>
      <c r="I69" s="2"/>
      <c r="J69" s="2" t="s">
        <v>404</v>
      </c>
      <c r="K69" s="2">
        <v>8</v>
      </c>
      <c r="L69" s="2" t="s">
        <v>522</v>
      </c>
      <c r="M69" s="2" t="s">
        <v>553</v>
      </c>
      <c r="N69" s="2" t="s">
        <v>554</v>
      </c>
      <c r="O69" s="2" t="s">
        <v>555</v>
      </c>
      <c r="P69" s="2" t="s">
        <v>556</v>
      </c>
      <c r="Q69" s="2" t="s">
        <v>557</v>
      </c>
      <c r="R69" s="2" t="s">
        <v>558</v>
      </c>
      <c r="S69" s="2"/>
      <c r="T69" s="9" t="s">
        <v>406</v>
      </c>
      <c r="U69" s="9" t="s">
        <v>404</v>
      </c>
      <c r="V69" s="10">
        <v>50</v>
      </c>
    </row>
    <row r="70" spans="1:22" ht="28.5" x14ac:dyDescent="0.45">
      <c r="A70" s="2" t="s">
        <v>559</v>
      </c>
      <c r="B70" s="2" t="s">
        <v>401</v>
      </c>
      <c r="C70" s="2" t="s">
        <v>402</v>
      </c>
      <c r="D70" s="2" t="s">
        <v>64</v>
      </c>
      <c r="E70" s="2" t="s">
        <v>560</v>
      </c>
      <c r="F70" s="2" t="s">
        <v>74</v>
      </c>
      <c r="G70" s="2" t="s">
        <v>84</v>
      </c>
      <c r="H70" s="2" t="s">
        <v>26</v>
      </c>
      <c r="I70" s="2"/>
      <c r="J70" s="2" t="s">
        <v>404</v>
      </c>
      <c r="K70" s="2">
        <v>8</v>
      </c>
      <c r="L70" s="2" t="s">
        <v>561</v>
      </c>
      <c r="M70" s="2" t="s">
        <v>562</v>
      </c>
      <c r="N70" s="2" t="s">
        <v>563</v>
      </c>
      <c r="O70" s="2" t="s">
        <v>564</v>
      </c>
      <c r="P70" s="2" t="s">
        <v>565</v>
      </c>
      <c r="Q70" s="2" t="s">
        <v>566</v>
      </c>
      <c r="R70" s="2" t="s">
        <v>567</v>
      </c>
      <c r="S70" s="2"/>
      <c r="T70" s="9" t="s">
        <v>406</v>
      </c>
      <c r="U70" s="9" t="s">
        <v>404</v>
      </c>
      <c r="V70" s="10">
        <v>51</v>
      </c>
    </row>
    <row r="71" spans="1:22" ht="28.5" x14ac:dyDescent="0.45">
      <c r="A71" s="2" t="s">
        <v>568</v>
      </c>
      <c r="B71" s="2" t="s">
        <v>401</v>
      </c>
      <c r="C71" s="2" t="s">
        <v>402</v>
      </c>
      <c r="D71" s="2" t="s">
        <v>64</v>
      </c>
      <c r="E71" s="2" t="s">
        <v>569</v>
      </c>
      <c r="F71" s="2" t="s">
        <v>204</v>
      </c>
      <c r="G71" s="2" t="s">
        <v>422</v>
      </c>
      <c r="H71" s="2" t="s">
        <v>26</v>
      </c>
      <c r="I71" s="2"/>
      <c r="J71" s="2" t="s">
        <v>404</v>
      </c>
      <c r="K71" s="2">
        <v>5</v>
      </c>
      <c r="L71" s="2" t="s">
        <v>559</v>
      </c>
      <c r="M71" s="2" t="s">
        <v>570</v>
      </c>
      <c r="N71" s="2" t="s">
        <v>571</v>
      </c>
      <c r="O71" s="2" t="s">
        <v>572</v>
      </c>
      <c r="P71" s="2" t="s">
        <v>573</v>
      </c>
      <c r="Q71" s="2" t="s">
        <v>574</v>
      </c>
      <c r="R71" s="2" t="s">
        <v>575</v>
      </c>
      <c r="S71" s="2"/>
      <c r="T71" s="9" t="s">
        <v>406</v>
      </c>
      <c r="U71" s="9" t="s">
        <v>404</v>
      </c>
      <c r="V71" s="10">
        <v>52</v>
      </c>
    </row>
    <row r="72" spans="1:22" ht="28.5" x14ac:dyDescent="0.45">
      <c r="A72" s="2" t="s">
        <v>576</v>
      </c>
      <c r="B72" s="2" t="s">
        <v>401</v>
      </c>
      <c r="C72" s="2" t="s">
        <v>402</v>
      </c>
      <c r="D72" s="2" t="s">
        <v>64</v>
      </c>
      <c r="E72" s="2" t="s">
        <v>577</v>
      </c>
      <c r="F72" s="2" t="s">
        <v>578</v>
      </c>
      <c r="G72" s="2" t="s">
        <v>422</v>
      </c>
      <c r="H72" s="2" t="s">
        <v>26</v>
      </c>
      <c r="I72" s="2"/>
      <c r="J72" s="2" t="s">
        <v>416</v>
      </c>
      <c r="K72" s="2">
        <v>5</v>
      </c>
      <c r="L72" s="2" t="s">
        <v>579</v>
      </c>
      <c r="M72" s="2" t="s">
        <v>580</v>
      </c>
      <c r="N72" s="2" t="s">
        <v>581</v>
      </c>
      <c r="O72" s="2" t="s">
        <v>582</v>
      </c>
      <c r="P72" s="2" t="s">
        <v>583</v>
      </c>
      <c r="Q72" s="2" t="s">
        <v>584</v>
      </c>
      <c r="R72" s="2" t="s">
        <v>585</v>
      </c>
      <c r="S72" s="2"/>
      <c r="T72" s="9" t="s">
        <v>406</v>
      </c>
      <c r="U72" s="9" t="s">
        <v>416</v>
      </c>
      <c r="V72" s="10">
        <v>53</v>
      </c>
    </row>
    <row r="73" spans="1:22" ht="42.75" x14ac:dyDescent="0.45">
      <c r="A73" s="2" t="s">
        <v>586</v>
      </c>
      <c r="B73" s="2" t="s">
        <v>407</v>
      </c>
      <c r="C73" s="2" t="s">
        <v>408</v>
      </c>
      <c r="D73" s="2" t="s">
        <v>64</v>
      </c>
      <c r="E73" s="2" t="s">
        <v>587</v>
      </c>
      <c r="F73" s="2" t="s">
        <v>578</v>
      </c>
      <c r="G73" s="2" t="s">
        <v>84</v>
      </c>
      <c r="H73" s="2" t="s">
        <v>26</v>
      </c>
      <c r="I73" s="2"/>
      <c r="J73" s="2" t="s">
        <v>410</v>
      </c>
      <c r="K73" s="2">
        <v>8</v>
      </c>
      <c r="L73" s="2" t="s">
        <v>559</v>
      </c>
      <c r="M73" s="2" t="s">
        <v>588</v>
      </c>
      <c r="N73" s="2" t="s">
        <v>589</v>
      </c>
      <c r="O73" s="2" t="s">
        <v>590</v>
      </c>
      <c r="P73" s="2" t="s">
        <v>591</v>
      </c>
      <c r="Q73" s="2" t="s">
        <v>592</v>
      </c>
      <c r="R73" s="2" t="s">
        <v>593</v>
      </c>
      <c r="S73" s="2"/>
      <c r="T73" s="9" t="s">
        <v>412</v>
      </c>
      <c r="U73" s="9" t="s">
        <v>410</v>
      </c>
      <c r="V73" s="10">
        <v>54</v>
      </c>
    </row>
    <row r="74" spans="1:22" ht="42.75" x14ac:dyDescent="0.45">
      <c r="A74" s="2" t="s">
        <v>594</v>
      </c>
      <c r="B74" s="2" t="s">
        <v>407</v>
      </c>
      <c r="C74" s="2" t="s">
        <v>408</v>
      </c>
      <c r="D74" s="2" t="s">
        <v>64</v>
      </c>
      <c r="E74" s="2" t="s">
        <v>595</v>
      </c>
      <c r="F74" s="2" t="s">
        <v>204</v>
      </c>
      <c r="G74" s="2" t="s">
        <v>84</v>
      </c>
      <c r="H74" s="2" t="s">
        <v>26</v>
      </c>
      <c r="I74" s="2"/>
      <c r="J74" s="2" t="s">
        <v>410</v>
      </c>
      <c r="K74" s="2">
        <v>5</v>
      </c>
      <c r="L74" s="2" t="s">
        <v>586</v>
      </c>
      <c r="M74" s="2" t="s">
        <v>596</v>
      </c>
      <c r="N74" s="2" t="s">
        <v>597</v>
      </c>
      <c r="O74" s="2" t="s">
        <v>598</v>
      </c>
      <c r="P74" s="2" t="s">
        <v>599</v>
      </c>
      <c r="Q74" s="2" t="s">
        <v>600</v>
      </c>
      <c r="R74" s="2" t="s">
        <v>601</v>
      </c>
      <c r="S74" s="2"/>
      <c r="T74" s="9" t="s">
        <v>412</v>
      </c>
      <c r="U74" s="9" t="s">
        <v>410</v>
      </c>
      <c r="V74" s="10">
        <v>55</v>
      </c>
    </row>
    <row r="75" spans="1:22" ht="42.75" x14ac:dyDescent="0.45">
      <c r="A75" s="2" t="s">
        <v>602</v>
      </c>
      <c r="B75" s="2" t="s">
        <v>407</v>
      </c>
      <c r="C75" s="2" t="s">
        <v>408</v>
      </c>
      <c r="D75" s="2" t="s">
        <v>64</v>
      </c>
      <c r="E75" s="2" t="s">
        <v>603</v>
      </c>
      <c r="F75" s="2" t="s">
        <v>83</v>
      </c>
      <c r="G75" s="2" t="s">
        <v>422</v>
      </c>
      <c r="H75" s="2" t="s">
        <v>26</v>
      </c>
      <c r="I75" s="2"/>
      <c r="J75" s="2" t="s">
        <v>410</v>
      </c>
      <c r="K75" s="2">
        <v>5</v>
      </c>
      <c r="L75" s="2" t="s">
        <v>586</v>
      </c>
      <c r="M75" s="2" t="s">
        <v>604</v>
      </c>
      <c r="N75" s="2" t="s">
        <v>605</v>
      </c>
      <c r="O75" s="2" t="s">
        <v>606</v>
      </c>
      <c r="P75" s="2" t="s">
        <v>607</v>
      </c>
      <c r="Q75" s="2" t="s">
        <v>608</v>
      </c>
      <c r="R75" s="2" t="s">
        <v>609</v>
      </c>
      <c r="S75" s="2"/>
      <c r="T75" s="9" t="s">
        <v>412</v>
      </c>
      <c r="U75" s="9" t="s">
        <v>410</v>
      </c>
      <c r="V75" s="10">
        <v>56</v>
      </c>
    </row>
    <row r="76" spans="1:22" ht="28.5" x14ac:dyDescent="0.45">
      <c r="A76" s="2" t="s">
        <v>610</v>
      </c>
      <c r="B76" s="2" t="s">
        <v>413</v>
      </c>
      <c r="C76" s="2" t="s">
        <v>414</v>
      </c>
      <c r="D76" s="2" t="s">
        <v>64</v>
      </c>
      <c r="E76" s="2" t="s">
        <v>611</v>
      </c>
      <c r="F76" s="2" t="s">
        <v>83</v>
      </c>
      <c r="G76" s="2" t="s">
        <v>84</v>
      </c>
      <c r="H76" s="2" t="s">
        <v>26</v>
      </c>
      <c r="I76" s="2"/>
      <c r="J76" s="2" t="s">
        <v>416</v>
      </c>
      <c r="K76" s="2">
        <v>8</v>
      </c>
      <c r="L76" s="2" t="s">
        <v>612</v>
      </c>
      <c r="M76" s="2" t="s">
        <v>613</v>
      </c>
      <c r="N76" s="2" t="s">
        <v>614</v>
      </c>
      <c r="O76" s="2" t="s">
        <v>615</v>
      </c>
      <c r="P76" s="2" t="s">
        <v>616</v>
      </c>
      <c r="Q76" s="2" t="s">
        <v>617</v>
      </c>
      <c r="R76" s="2" t="s">
        <v>618</v>
      </c>
      <c r="S76" s="2"/>
      <c r="T76" s="9" t="s">
        <v>418</v>
      </c>
      <c r="U76" s="9" t="s">
        <v>416</v>
      </c>
      <c r="V76" s="10">
        <v>57</v>
      </c>
    </row>
    <row r="77" spans="1:22" ht="28.5" x14ac:dyDescent="0.45">
      <c r="A77" s="2" t="s">
        <v>619</v>
      </c>
      <c r="B77" s="2" t="s">
        <v>413</v>
      </c>
      <c r="C77" s="2" t="s">
        <v>414</v>
      </c>
      <c r="D77" s="2" t="s">
        <v>64</v>
      </c>
      <c r="E77" s="2" t="s">
        <v>620</v>
      </c>
      <c r="F77" s="2" t="s">
        <v>74</v>
      </c>
      <c r="G77" s="2" t="s">
        <v>84</v>
      </c>
      <c r="H77" s="2" t="s">
        <v>26</v>
      </c>
      <c r="I77" s="2"/>
      <c r="J77" s="2" t="s">
        <v>416</v>
      </c>
      <c r="K77" s="2">
        <v>8</v>
      </c>
      <c r="L77" s="2" t="s">
        <v>610</v>
      </c>
      <c r="M77" s="2" t="s">
        <v>621</v>
      </c>
      <c r="N77" s="2" t="s">
        <v>622</v>
      </c>
      <c r="O77" s="2" t="s">
        <v>623</v>
      </c>
      <c r="P77" s="2" t="s">
        <v>624</v>
      </c>
      <c r="Q77" s="2" t="s">
        <v>625</v>
      </c>
      <c r="R77" s="2" t="s">
        <v>626</v>
      </c>
      <c r="S77" s="2"/>
      <c r="T77" s="9" t="s">
        <v>418</v>
      </c>
      <c r="U77" s="9" t="s">
        <v>416</v>
      </c>
      <c r="V77" s="10">
        <v>58</v>
      </c>
    </row>
    <row r="78" spans="1:22" ht="28.5" x14ac:dyDescent="0.45">
      <c r="A78" s="2" t="s">
        <v>627</v>
      </c>
      <c r="B78" s="2" t="s">
        <v>413</v>
      </c>
      <c r="C78" s="2" t="s">
        <v>414</v>
      </c>
      <c r="D78" s="2" t="s">
        <v>64</v>
      </c>
      <c r="E78" s="2" t="s">
        <v>628</v>
      </c>
      <c r="F78" s="2" t="s">
        <v>578</v>
      </c>
      <c r="G78" s="2" t="s">
        <v>422</v>
      </c>
      <c r="H78" s="2" t="s">
        <v>26</v>
      </c>
      <c r="I78" s="2"/>
      <c r="J78" s="2" t="s">
        <v>416</v>
      </c>
      <c r="K78" s="2">
        <v>8</v>
      </c>
      <c r="L78" s="2" t="s">
        <v>629</v>
      </c>
      <c r="M78" s="2" t="s">
        <v>630</v>
      </c>
      <c r="N78" s="2" t="s">
        <v>631</v>
      </c>
      <c r="O78" s="2" t="s">
        <v>632</v>
      </c>
      <c r="P78" s="2" t="s">
        <v>633</v>
      </c>
      <c r="Q78" s="2" t="s">
        <v>634</v>
      </c>
      <c r="R78" s="2" t="s">
        <v>635</v>
      </c>
      <c r="S78" s="2"/>
      <c r="T78" s="9" t="s">
        <v>418</v>
      </c>
      <c r="U78" s="9" t="s">
        <v>416</v>
      </c>
      <c r="V78" s="10">
        <v>59</v>
      </c>
    </row>
    <row r="79" spans="1:22" ht="57" x14ac:dyDescent="0.45">
      <c r="A79" s="2" t="s">
        <v>636</v>
      </c>
      <c r="B79" s="2" t="s">
        <v>419</v>
      </c>
      <c r="C79" s="2" t="s">
        <v>420</v>
      </c>
      <c r="D79" s="2" t="s">
        <v>64</v>
      </c>
      <c r="E79" s="2" t="s">
        <v>637</v>
      </c>
      <c r="F79" s="2" t="s">
        <v>141</v>
      </c>
      <c r="G79" s="2" t="s">
        <v>422</v>
      </c>
      <c r="H79" s="2" t="s">
        <v>26</v>
      </c>
      <c r="I79" s="2"/>
      <c r="J79" s="2" t="s">
        <v>416</v>
      </c>
      <c r="K79" s="2">
        <v>5</v>
      </c>
      <c r="L79" s="2" t="s">
        <v>638</v>
      </c>
      <c r="M79" s="2" t="s">
        <v>639</v>
      </c>
      <c r="N79" s="2" t="s">
        <v>640</v>
      </c>
      <c r="O79" s="2" t="s">
        <v>641</v>
      </c>
      <c r="P79" s="2" t="s">
        <v>642</v>
      </c>
      <c r="Q79" s="2" t="s">
        <v>643</v>
      </c>
      <c r="R79" s="2" t="s">
        <v>644</v>
      </c>
      <c r="S79" s="2"/>
      <c r="T79" s="9" t="s">
        <v>424</v>
      </c>
      <c r="U79" s="9" t="s">
        <v>416</v>
      </c>
      <c r="V79" s="10">
        <v>60</v>
      </c>
    </row>
    <row r="80" spans="1:22" ht="57" x14ac:dyDescent="0.45">
      <c r="A80" s="2" t="s">
        <v>645</v>
      </c>
      <c r="B80" s="2" t="s">
        <v>419</v>
      </c>
      <c r="C80" s="2" t="s">
        <v>420</v>
      </c>
      <c r="D80" s="2" t="s">
        <v>64</v>
      </c>
      <c r="E80" s="2" t="s">
        <v>646</v>
      </c>
      <c r="F80" s="2" t="s">
        <v>111</v>
      </c>
      <c r="G80" s="2" t="s">
        <v>647</v>
      </c>
      <c r="H80" s="2" t="s">
        <v>26</v>
      </c>
      <c r="I80" s="2"/>
      <c r="J80" s="2" t="s">
        <v>416</v>
      </c>
      <c r="K80" s="2">
        <v>3</v>
      </c>
      <c r="L80" s="2" t="s">
        <v>648</v>
      </c>
      <c r="M80" s="2" t="s">
        <v>649</v>
      </c>
      <c r="N80" s="2" t="s">
        <v>650</v>
      </c>
      <c r="O80" s="2" t="s">
        <v>651</v>
      </c>
      <c r="P80" s="2" t="s">
        <v>652</v>
      </c>
      <c r="Q80" s="2" t="s">
        <v>653</v>
      </c>
      <c r="R80" s="2" t="s">
        <v>654</v>
      </c>
      <c r="S80" s="2"/>
      <c r="T80" s="9" t="s">
        <v>424</v>
      </c>
      <c r="U80" s="9" t="s">
        <v>416</v>
      </c>
      <c r="V80" s="10">
        <v>61</v>
      </c>
    </row>
    <row r="81" spans="1:22" ht="57" x14ac:dyDescent="0.45">
      <c r="A81" s="2" t="s">
        <v>655</v>
      </c>
      <c r="B81" s="2" t="s">
        <v>419</v>
      </c>
      <c r="C81" s="2" t="s">
        <v>420</v>
      </c>
      <c r="D81" s="2" t="s">
        <v>64</v>
      </c>
      <c r="E81" s="2" t="s">
        <v>656</v>
      </c>
      <c r="F81" s="2" t="s">
        <v>111</v>
      </c>
      <c r="G81" s="2" t="s">
        <v>422</v>
      </c>
      <c r="H81" s="2" t="s">
        <v>26</v>
      </c>
      <c r="I81" s="2"/>
      <c r="J81" s="2" t="s">
        <v>416</v>
      </c>
      <c r="K81" s="2">
        <v>5</v>
      </c>
      <c r="L81" s="2" t="s">
        <v>657</v>
      </c>
      <c r="M81" s="2" t="s">
        <v>658</v>
      </c>
      <c r="N81" s="2" t="s">
        <v>659</v>
      </c>
      <c r="O81" s="2" t="s">
        <v>660</v>
      </c>
      <c r="P81" s="2" t="s">
        <v>661</v>
      </c>
      <c r="Q81" s="2" t="s">
        <v>662</v>
      </c>
      <c r="R81" s="2" t="s">
        <v>663</v>
      </c>
      <c r="S81" s="2"/>
      <c r="T81" s="9" t="s">
        <v>424</v>
      </c>
      <c r="U81" s="9" t="s">
        <v>416</v>
      </c>
      <c r="V81" s="10">
        <v>62</v>
      </c>
    </row>
    <row r="82" spans="1:22" ht="42.75" x14ac:dyDescent="0.45">
      <c r="A82" s="2" t="s">
        <v>664</v>
      </c>
      <c r="B82" s="2" t="s">
        <v>425</v>
      </c>
      <c r="C82" s="2" t="s">
        <v>426</v>
      </c>
      <c r="D82" s="2" t="s">
        <v>64</v>
      </c>
      <c r="E82" s="2" t="s">
        <v>665</v>
      </c>
      <c r="F82" s="2" t="s">
        <v>141</v>
      </c>
      <c r="G82" s="2" t="s">
        <v>422</v>
      </c>
      <c r="H82" s="2" t="s">
        <v>26</v>
      </c>
      <c r="I82" s="2"/>
      <c r="J82" s="2" t="s">
        <v>416</v>
      </c>
      <c r="K82" s="2">
        <v>8</v>
      </c>
      <c r="L82" s="2" t="s">
        <v>666</v>
      </c>
      <c r="M82" s="2" t="s">
        <v>667</v>
      </c>
      <c r="N82" s="2" t="s">
        <v>668</v>
      </c>
      <c r="O82" s="2" t="s">
        <v>669</v>
      </c>
      <c r="P82" s="2" t="s">
        <v>670</v>
      </c>
      <c r="Q82" s="2" t="s">
        <v>671</v>
      </c>
      <c r="R82" s="2" t="s">
        <v>672</v>
      </c>
      <c r="S82" s="2"/>
      <c r="T82" s="9" t="s">
        <v>400</v>
      </c>
      <c r="U82" s="9" t="s">
        <v>416</v>
      </c>
      <c r="V82" s="10">
        <v>63</v>
      </c>
    </row>
    <row r="83" spans="1:22" ht="42.75" x14ac:dyDescent="0.45">
      <c r="A83" s="2" t="s">
        <v>673</v>
      </c>
      <c r="B83" s="2" t="s">
        <v>425</v>
      </c>
      <c r="C83" s="2" t="s">
        <v>426</v>
      </c>
      <c r="D83" s="2" t="s">
        <v>64</v>
      </c>
      <c r="E83" s="2" t="s">
        <v>674</v>
      </c>
      <c r="F83" s="2" t="s">
        <v>675</v>
      </c>
      <c r="G83" s="2" t="s">
        <v>422</v>
      </c>
      <c r="H83" s="2" t="s">
        <v>26</v>
      </c>
      <c r="I83" s="2"/>
      <c r="J83" s="2" t="s">
        <v>416</v>
      </c>
      <c r="K83" s="2">
        <v>5</v>
      </c>
      <c r="L83" s="2" t="s">
        <v>676</v>
      </c>
      <c r="M83" s="2" t="s">
        <v>677</v>
      </c>
      <c r="N83" s="2" t="s">
        <v>678</v>
      </c>
      <c r="O83" s="2" t="s">
        <v>679</v>
      </c>
      <c r="P83" s="2" t="s">
        <v>680</v>
      </c>
      <c r="Q83" s="2" t="s">
        <v>681</v>
      </c>
      <c r="R83" s="2" t="s">
        <v>682</v>
      </c>
      <c r="S83" s="2"/>
      <c r="T83" s="9" t="s">
        <v>400</v>
      </c>
      <c r="U83" s="9" t="s">
        <v>416</v>
      </c>
      <c r="V83" s="10">
        <v>64</v>
      </c>
    </row>
    <row r="84" spans="1:22" ht="42.75" x14ac:dyDescent="0.45">
      <c r="A84" s="2" t="s">
        <v>683</v>
      </c>
      <c r="B84" s="2" t="s">
        <v>429</v>
      </c>
      <c r="C84" s="2" t="s">
        <v>430</v>
      </c>
      <c r="D84" s="2" t="s">
        <v>64</v>
      </c>
      <c r="E84" s="2" t="s">
        <v>684</v>
      </c>
      <c r="F84" s="2" t="s">
        <v>74</v>
      </c>
      <c r="G84" s="2" t="s">
        <v>84</v>
      </c>
      <c r="H84" s="2" t="s">
        <v>26</v>
      </c>
      <c r="I84" s="2"/>
      <c r="J84" s="2" t="s">
        <v>416</v>
      </c>
      <c r="K84" s="2">
        <v>8</v>
      </c>
      <c r="L84" s="2" t="s">
        <v>240</v>
      </c>
      <c r="M84" s="2" t="s">
        <v>685</v>
      </c>
      <c r="N84" s="2" t="s">
        <v>686</v>
      </c>
      <c r="O84" s="2" t="s">
        <v>687</v>
      </c>
      <c r="P84" s="2" t="s">
        <v>688</v>
      </c>
      <c r="Q84" s="2" t="s">
        <v>689</v>
      </c>
      <c r="R84" s="2" t="s">
        <v>690</v>
      </c>
      <c r="S84" s="2"/>
      <c r="T84" s="9" t="s">
        <v>400</v>
      </c>
      <c r="U84" s="9" t="s">
        <v>416</v>
      </c>
      <c r="V84" s="10">
        <v>65</v>
      </c>
    </row>
    <row r="85" spans="1:22" ht="42.75" x14ac:dyDescent="0.45">
      <c r="A85" s="2" t="s">
        <v>691</v>
      </c>
      <c r="B85" s="2" t="s">
        <v>429</v>
      </c>
      <c r="C85" s="2" t="s">
        <v>430</v>
      </c>
      <c r="D85" s="2" t="s">
        <v>64</v>
      </c>
      <c r="E85" s="2" t="s">
        <v>692</v>
      </c>
      <c r="F85" s="2" t="s">
        <v>177</v>
      </c>
      <c r="G85" s="2" t="s">
        <v>422</v>
      </c>
      <c r="H85" s="2" t="s">
        <v>26</v>
      </c>
      <c r="I85" s="2"/>
      <c r="J85" s="2" t="s">
        <v>416</v>
      </c>
      <c r="K85" s="2">
        <v>8</v>
      </c>
      <c r="L85" s="2" t="s">
        <v>683</v>
      </c>
      <c r="M85" s="2" t="s">
        <v>693</v>
      </c>
      <c r="N85" s="2" t="s">
        <v>694</v>
      </c>
      <c r="O85" s="2" t="s">
        <v>695</v>
      </c>
      <c r="P85" s="2" t="s">
        <v>696</v>
      </c>
      <c r="Q85" s="2" t="s">
        <v>697</v>
      </c>
      <c r="R85" s="2" t="s">
        <v>698</v>
      </c>
      <c r="S85" s="2"/>
      <c r="T85" s="9" t="s">
        <v>400</v>
      </c>
      <c r="U85" s="9" t="s">
        <v>416</v>
      </c>
      <c r="V85" s="10">
        <v>66</v>
      </c>
    </row>
    <row r="86" spans="1:22" ht="42.75" x14ac:dyDescent="0.45">
      <c r="A86" s="2" t="s">
        <v>699</v>
      </c>
      <c r="B86" s="2" t="s">
        <v>429</v>
      </c>
      <c r="C86" s="2" t="s">
        <v>430</v>
      </c>
      <c r="D86" s="2" t="s">
        <v>64</v>
      </c>
      <c r="E86" s="2" t="s">
        <v>700</v>
      </c>
      <c r="F86" s="2" t="s">
        <v>83</v>
      </c>
      <c r="G86" s="2" t="s">
        <v>422</v>
      </c>
      <c r="H86" s="2" t="s">
        <v>26</v>
      </c>
      <c r="I86" s="2"/>
      <c r="J86" s="2" t="s">
        <v>416</v>
      </c>
      <c r="K86" s="2">
        <v>5</v>
      </c>
      <c r="L86" s="2" t="s">
        <v>683</v>
      </c>
      <c r="M86" s="2" t="s">
        <v>701</v>
      </c>
      <c r="N86" s="2" t="s">
        <v>702</v>
      </c>
      <c r="O86" s="2" t="s">
        <v>703</v>
      </c>
      <c r="P86" s="2" t="s">
        <v>704</v>
      </c>
      <c r="Q86" s="2" t="s">
        <v>705</v>
      </c>
      <c r="R86" s="2" t="s">
        <v>706</v>
      </c>
      <c r="S86" s="2"/>
      <c r="T86" s="9" t="s">
        <v>400</v>
      </c>
      <c r="U86" s="9" t="s">
        <v>416</v>
      </c>
      <c r="V86" s="10">
        <v>67</v>
      </c>
    </row>
  </sheetData>
  <conditionalFormatting sqref="A2:S47">
    <cfRule type="expression" dxfId="5" priority="1">
      <formula>$H2="Done"</formula>
    </cfRule>
    <cfRule type="expression" dxfId="4" priority="2">
      <formula>$H2="In Progress"</formula>
    </cfRule>
    <cfRule type="expression" dxfId="3" priority="3">
      <formula>$H2="Blocked"</formula>
    </cfRule>
    <cfRule type="expression" dxfId="2" priority="4">
      <formula>$H2="Review"</formula>
    </cfRule>
    <cfRule type="expression" dxfId="1" priority="5">
      <formula>$H2="Ready"</formula>
    </cfRule>
    <cfRule type="expression" dxfId="0" priority="6">
      <formula>$H2="Dropped"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4.25" x14ac:dyDescent="0.45"/>
  <cols>
    <col min="1" max="5" width="22" customWidth="1"/>
    <col min="6" max="6" width="28" customWidth="1"/>
    <col min="7" max="7" width="10" customWidth="1"/>
  </cols>
  <sheetData>
    <row r="1" spans="1:7" x14ac:dyDescent="0.45">
      <c r="A1" s="3" t="s">
        <v>7</v>
      </c>
      <c r="B1" s="3" t="s">
        <v>6</v>
      </c>
      <c r="C1" s="3" t="s">
        <v>3</v>
      </c>
      <c r="D1" s="3" t="s">
        <v>5</v>
      </c>
      <c r="E1" s="3" t="s">
        <v>9</v>
      </c>
      <c r="F1" s="3" t="s">
        <v>19</v>
      </c>
      <c r="G1" s="3" t="s">
        <v>20</v>
      </c>
    </row>
    <row r="2" spans="1:7" x14ac:dyDescent="0.45">
      <c r="A2" t="s">
        <v>26</v>
      </c>
      <c r="B2" t="s">
        <v>25</v>
      </c>
      <c r="C2" t="s">
        <v>2</v>
      </c>
      <c r="D2" t="s">
        <v>24</v>
      </c>
      <c r="E2" t="s">
        <v>28</v>
      </c>
      <c r="F2" t="s">
        <v>30</v>
      </c>
      <c r="G2" t="s">
        <v>28</v>
      </c>
    </row>
    <row r="3" spans="1:7" x14ac:dyDescent="0.45">
      <c r="A3" t="s">
        <v>707</v>
      </c>
      <c r="B3" t="s">
        <v>84</v>
      </c>
      <c r="C3" t="s">
        <v>64</v>
      </c>
      <c r="D3" t="s">
        <v>102</v>
      </c>
      <c r="E3" t="s">
        <v>33</v>
      </c>
      <c r="F3" t="s">
        <v>400</v>
      </c>
      <c r="G3" t="s">
        <v>33</v>
      </c>
    </row>
    <row r="4" spans="1:7" x14ac:dyDescent="0.45">
      <c r="A4" t="s">
        <v>708</v>
      </c>
      <c r="B4" t="s">
        <v>422</v>
      </c>
      <c r="C4" t="s">
        <v>709</v>
      </c>
      <c r="D4" t="s">
        <v>111</v>
      </c>
      <c r="E4" t="s">
        <v>40</v>
      </c>
      <c r="F4" t="s">
        <v>394</v>
      </c>
      <c r="G4" t="s">
        <v>40</v>
      </c>
    </row>
    <row r="5" spans="1:7" x14ac:dyDescent="0.45">
      <c r="A5" t="s">
        <v>710</v>
      </c>
      <c r="B5" t="s">
        <v>647</v>
      </c>
      <c r="C5" t="s">
        <v>711</v>
      </c>
      <c r="D5" t="s">
        <v>177</v>
      </c>
      <c r="E5" t="s">
        <v>44</v>
      </c>
      <c r="F5" t="s">
        <v>531</v>
      </c>
      <c r="G5" t="s">
        <v>44</v>
      </c>
    </row>
    <row r="6" spans="1:7" x14ac:dyDescent="0.45">
      <c r="A6" t="s">
        <v>712</v>
      </c>
      <c r="C6" t="s">
        <v>713</v>
      </c>
      <c r="D6" t="s">
        <v>714</v>
      </c>
      <c r="E6" t="s">
        <v>48</v>
      </c>
      <c r="F6" t="s">
        <v>542</v>
      </c>
      <c r="G6" t="s">
        <v>48</v>
      </c>
    </row>
    <row r="7" spans="1:7" x14ac:dyDescent="0.45">
      <c r="A7" t="s">
        <v>715</v>
      </c>
      <c r="C7" t="s">
        <v>716</v>
      </c>
      <c r="D7" t="s">
        <v>382</v>
      </c>
      <c r="E7" t="s">
        <v>52</v>
      </c>
      <c r="F7" t="s">
        <v>406</v>
      </c>
      <c r="G7" t="s">
        <v>52</v>
      </c>
    </row>
    <row r="8" spans="1:7" x14ac:dyDescent="0.45">
      <c r="A8" t="s">
        <v>717</v>
      </c>
      <c r="D8" t="s">
        <v>131</v>
      </c>
      <c r="E8" t="s">
        <v>398</v>
      </c>
      <c r="F8" t="s">
        <v>412</v>
      </c>
      <c r="G8" t="s">
        <v>398</v>
      </c>
    </row>
    <row r="9" spans="1:7" x14ac:dyDescent="0.45">
      <c r="D9" t="s">
        <v>74</v>
      </c>
      <c r="E9" t="s">
        <v>392</v>
      </c>
      <c r="F9" t="s">
        <v>418</v>
      </c>
      <c r="G9" t="s">
        <v>392</v>
      </c>
    </row>
    <row r="10" spans="1:7" x14ac:dyDescent="0.45">
      <c r="D10" t="s">
        <v>204</v>
      </c>
      <c r="E10" t="s">
        <v>514</v>
      </c>
      <c r="F10" t="s">
        <v>424</v>
      </c>
      <c r="G10" t="s">
        <v>514</v>
      </c>
    </row>
    <row r="11" spans="1:7" x14ac:dyDescent="0.45">
      <c r="D11" t="s">
        <v>93</v>
      </c>
      <c r="E11" t="s">
        <v>534</v>
      </c>
      <c r="G11" t="s">
        <v>534</v>
      </c>
    </row>
    <row r="12" spans="1:7" x14ac:dyDescent="0.45">
      <c r="D12" t="s">
        <v>718</v>
      </c>
      <c r="E12" t="s">
        <v>404</v>
      </c>
      <c r="G12" t="s">
        <v>404</v>
      </c>
    </row>
    <row r="13" spans="1:7" x14ac:dyDescent="0.45">
      <c r="D13" t="s">
        <v>83</v>
      </c>
      <c r="E13" t="s">
        <v>410</v>
      </c>
      <c r="G13" t="s">
        <v>410</v>
      </c>
    </row>
    <row r="14" spans="1:7" x14ac:dyDescent="0.45">
      <c r="D14" t="s">
        <v>121</v>
      </c>
      <c r="E14" t="s">
        <v>416</v>
      </c>
      <c r="G14" t="s">
        <v>416</v>
      </c>
    </row>
    <row r="15" spans="1:7" x14ac:dyDescent="0.45">
      <c r="D15" t="s">
        <v>356</v>
      </c>
    </row>
    <row r="16" spans="1:7" x14ac:dyDescent="0.45">
      <c r="D16" t="s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4.25" x14ac:dyDescent="0.45"/>
  <cols>
    <col min="1" max="1" width="34" customWidth="1"/>
    <col min="2" max="2" width="20" customWidth="1"/>
  </cols>
  <sheetData>
    <row r="1" spans="1:2" ht="18" x14ac:dyDescent="0.55000000000000004">
      <c r="A1" s="4" t="s">
        <v>719</v>
      </c>
    </row>
    <row r="3" spans="1:2" x14ac:dyDescent="0.45">
      <c r="A3" t="s">
        <v>720</v>
      </c>
      <c r="B3" t="s">
        <v>721</v>
      </c>
    </row>
    <row r="5" spans="1:2" x14ac:dyDescent="0.45">
      <c r="A5" s="5" t="s">
        <v>722</v>
      </c>
      <c r="B5" s="5" t="s">
        <v>723</v>
      </c>
    </row>
    <row r="6" spans="1:2" x14ac:dyDescent="0.45">
      <c r="A6" s="6" t="s">
        <v>26</v>
      </c>
      <c r="B6" s="6">
        <f>COUNTIF(Backlog!$H$2:$H$2000,"Backlog")</f>
        <v>85</v>
      </c>
    </row>
    <row r="7" spans="1:2" x14ac:dyDescent="0.45">
      <c r="A7" s="6" t="s">
        <v>707</v>
      </c>
      <c r="B7" s="6">
        <f>COUNTIF(Backlog!$H$2:$H$2000,"Ready")</f>
        <v>0</v>
      </c>
    </row>
    <row r="8" spans="1:2" x14ac:dyDescent="0.45">
      <c r="A8" s="6" t="s">
        <v>708</v>
      </c>
      <c r="B8" s="6">
        <f>COUNTIF(Backlog!$H$2:$H$2000,"In Progress")</f>
        <v>0</v>
      </c>
    </row>
    <row r="9" spans="1:2" x14ac:dyDescent="0.45">
      <c r="A9" s="6" t="s">
        <v>710</v>
      </c>
      <c r="B9" s="6">
        <f>COUNTIF(Backlog!$H$2:$H$2000,"Blocked")</f>
        <v>0</v>
      </c>
    </row>
    <row r="10" spans="1:2" x14ac:dyDescent="0.45">
      <c r="A10" s="6" t="s">
        <v>712</v>
      </c>
      <c r="B10" s="6">
        <f>COUNTIF(Backlog!$H$2:$H$2000,"Review")</f>
        <v>0</v>
      </c>
    </row>
    <row r="11" spans="1:2" x14ac:dyDescent="0.45">
      <c r="A11" s="6" t="s">
        <v>715</v>
      </c>
      <c r="B11" s="6">
        <f>COUNTIF(Backlog!$H$2:$H$2000,"Done")</f>
        <v>0</v>
      </c>
    </row>
    <row r="12" spans="1:2" x14ac:dyDescent="0.45">
      <c r="A12" s="6" t="s">
        <v>717</v>
      </c>
      <c r="B12" s="6">
        <f>COUNTIF(Backlog!$H$2:$H$2000,"Dropped")</f>
        <v>0</v>
      </c>
    </row>
    <row r="13" spans="1:2" x14ac:dyDescent="0.45">
      <c r="A13" s="7" t="s">
        <v>724</v>
      </c>
      <c r="B13" s="7">
        <f>SUM(B6:B12)</f>
        <v>85</v>
      </c>
    </row>
    <row r="15" spans="1:2" x14ac:dyDescent="0.45">
      <c r="A15" t="s">
        <v>725</v>
      </c>
      <c r="B15" s="8">
        <f>IF(B13=0,0,COUNTIF(Backlog!$H$2:$H$2000,"Done")/B13)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/>
  </sheetViews>
  <sheetFormatPr defaultRowHeight="14.25" x14ac:dyDescent="0.45"/>
  <cols>
    <col min="1" max="1" width="8" customWidth="1"/>
    <col min="2" max="2" width="24" customWidth="1"/>
    <col min="3" max="3" width="44" customWidth="1"/>
    <col min="4" max="4" width="52" customWidth="1"/>
    <col min="5" max="5" width="14" customWidth="1"/>
  </cols>
  <sheetData>
    <row r="1" spans="1:5" x14ac:dyDescent="0.45">
      <c r="A1" s="1" t="s">
        <v>9</v>
      </c>
      <c r="B1" s="1" t="s">
        <v>19</v>
      </c>
      <c r="C1" s="1" t="s">
        <v>726</v>
      </c>
      <c r="D1" s="1" t="s">
        <v>727</v>
      </c>
      <c r="E1" s="1" t="s">
        <v>728</v>
      </c>
    </row>
    <row r="2" spans="1:5" x14ac:dyDescent="0.45">
      <c r="A2" s="9" t="s">
        <v>28</v>
      </c>
      <c r="B2" s="9" t="s">
        <v>30</v>
      </c>
      <c r="C2" s="9" t="s">
        <v>729</v>
      </c>
      <c r="D2" s="9" t="s">
        <v>730</v>
      </c>
      <c r="E2" s="10">
        <f>SUMIF(Backlog!$J$2:$J$2000,"S0",Backlog!$K$2:$K$2000)</f>
        <v>22</v>
      </c>
    </row>
    <row r="3" spans="1:5" x14ac:dyDescent="0.45">
      <c r="A3" s="9" t="s">
        <v>33</v>
      </c>
      <c r="B3" s="9" t="s">
        <v>30</v>
      </c>
      <c r="C3" s="9" t="s">
        <v>731</v>
      </c>
      <c r="D3" s="9" t="s">
        <v>732</v>
      </c>
      <c r="E3" s="10">
        <f>SUMIF(Backlog!$J$2:$J$2000,"S1",Backlog!$K$2:$K$2000)</f>
        <v>23</v>
      </c>
    </row>
    <row r="4" spans="1:5" x14ac:dyDescent="0.45">
      <c r="A4" s="9" t="s">
        <v>40</v>
      </c>
      <c r="B4" s="9" t="s">
        <v>30</v>
      </c>
      <c r="C4" s="9" t="s">
        <v>733</v>
      </c>
      <c r="D4" s="9" t="s">
        <v>734</v>
      </c>
      <c r="E4" s="10">
        <f>SUMIF(Backlog!$J$2:$J$2000,"S2",Backlog!$K$2:$K$2000)</f>
        <v>38</v>
      </c>
    </row>
    <row r="5" spans="1:5" x14ac:dyDescent="0.45">
      <c r="A5" s="9" t="s">
        <v>44</v>
      </c>
      <c r="B5" s="9" t="s">
        <v>30</v>
      </c>
      <c r="C5" s="9" t="s">
        <v>735</v>
      </c>
      <c r="D5" s="9" t="s">
        <v>736</v>
      </c>
      <c r="E5" s="10">
        <f>SUMIF(Backlog!$J$2:$J$2000,"S3",Backlog!$K$2:$K$2000)</f>
        <v>39</v>
      </c>
    </row>
    <row r="6" spans="1:5" x14ac:dyDescent="0.45">
      <c r="A6" s="9" t="s">
        <v>48</v>
      </c>
      <c r="B6" s="9" t="s">
        <v>30</v>
      </c>
      <c r="C6" s="9" t="s">
        <v>737</v>
      </c>
      <c r="D6" s="9" t="s">
        <v>738</v>
      </c>
      <c r="E6" s="10">
        <f>SUMIF(Backlog!$J$2:$J$2000,"S4",Backlog!$K$2:$K$2000)</f>
        <v>28</v>
      </c>
    </row>
    <row r="7" spans="1:5" x14ac:dyDescent="0.45">
      <c r="A7" s="9" t="s">
        <v>52</v>
      </c>
      <c r="B7" s="9" t="s">
        <v>30</v>
      </c>
      <c r="C7" s="9" t="s">
        <v>739</v>
      </c>
      <c r="D7" s="9" t="s">
        <v>740</v>
      </c>
      <c r="E7" s="10">
        <f>SUMIF(Backlog!$J$2:$J$2000,"S5",Backlog!$K$2:$K$2000)</f>
        <v>68</v>
      </c>
    </row>
    <row r="8" spans="1:5" x14ac:dyDescent="0.45">
      <c r="A8" s="9" t="s">
        <v>398</v>
      </c>
      <c r="B8" s="9" t="s">
        <v>400</v>
      </c>
      <c r="C8" s="9" t="s">
        <v>741</v>
      </c>
      <c r="D8" s="9" t="s">
        <v>742</v>
      </c>
      <c r="E8" s="10">
        <f>SUMIF(Backlog!$J$2:$J$2000,"S6",Backlog!$K$2:$K$2000)</f>
        <v>31</v>
      </c>
    </row>
    <row r="9" spans="1:5" x14ac:dyDescent="0.45">
      <c r="A9" s="9" t="s">
        <v>392</v>
      </c>
      <c r="B9" s="9" t="s">
        <v>394</v>
      </c>
      <c r="C9" s="9" t="s">
        <v>743</v>
      </c>
      <c r="D9" s="9" t="s">
        <v>744</v>
      </c>
      <c r="E9" s="10">
        <f>SUMIF(Backlog!$J$2:$J$2000,"S7",Backlog!$K$2:$K$2000)</f>
        <v>18</v>
      </c>
    </row>
    <row r="10" spans="1:5" x14ac:dyDescent="0.45">
      <c r="A10" s="9" t="s">
        <v>514</v>
      </c>
      <c r="B10" s="9" t="s">
        <v>745</v>
      </c>
      <c r="C10" s="9" t="s">
        <v>746</v>
      </c>
      <c r="D10" s="9" t="s">
        <v>747</v>
      </c>
      <c r="E10" s="10">
        <f>SUMIF(Backlog!$J$2:$J$2000,"S8",Backlog!$K$2:$K$2000)</f>
        <v>16</v>
      </c>
    </row>
    <row r="11" spans="1:5" x14ac:dyDescent="0.45">
      <c r="A11" s="9" t="s">
        <v>534</v>
      </c>
      <c r="B11" s="9" t="s">
        <v>542</v>
      </c>
      <c r="C11" s="9" t="s">
        <v>748</v>
      </c>
      <c r="D11" s="9" t="s">
        <v>749</v>
      </c>
      <c r="E11" s="10">
        <f>SUMIF(Backlog!$J$2:$J$2000,"S9",Backlog!$K$2:$K$2000)</f>
        <v>13</v>
      </c>
    </row>
    <row r="12" spans="1:5" x14ac:dyDescent="0.45">
      <c r="A12" s="9" t="s">
        <v>404</v>
      </c>
      <c r="B12" s="9" t="s">
        <v>406</v>
      </c>
      <c r="C12" s="9" t="s">
        <v>750</v>
      </c>
      <c r="D12" s="9" t="s">
        <v>751</v>
      </c>
      <c r="E12" s="10">
        <f>SUMIF(Backlog!$J$2:$J$2000,"S10",Backlog!$K$2:$K$2000)</f>
        <v>21</v>
      </c>
    </row>
    <row r="13" spans="1:5" x14ac:dyDescent="0.45">
      <c r="A13" s="9" t="s">
        <v>410</v>
      </c>
      <c r="B13" s="9" t="s">
        <v>412</v>
      </c>
      <c r="C13" s="9" t="s">
        <v>752</v>
      </c>
      <c r="D13" s="9" t="s">
        <v>753</v>
      </c>
      <c r="E13" s="10">
        <f>SUMIF(Backlog!$J$2:$J$2000,"S11",Backlog!$K$2:$K$2000)</f>
        <v>18</v>
      </c>
    </row>
    <row r="14" spans="1:5" ht="28.5" x14ac:dyDescent="0.45">
      <c r="A14" s="9" t="s">
        <v>416</v>
      </c>
      <c r="B14" s="9" t="s">
        <v>754</v>
      </c>
      <c r="C14" s="9" t="s">
        <v>755</v>
      </c>
      <c r="D14" s="9" t="s">
        <v>756</v>
      </c>
      <c r="E14" s="10">
        <f>SUMIF(Backlog!$J$2:$J$2000,"S12",Backlog!$K$2:$K$2000)</f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Backlog</vt:lpstr>
      <vt:lpstr>Lists</vt:lpstr>
      <vt:lpstr>Dashboard</vt:lpstr>
      <vt:lpstr>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Алексей Селивонюк</cp:lastModifiedBy>
  <dcterms:modified xsi:type="dcterms:W3CDTF">2025-12-24T12:02:36Z</dcterms:modified>
</cp:coreProperties>
</file>